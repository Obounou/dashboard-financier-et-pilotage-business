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Marie-Lys/Documents/1 - Business/0 - Séminaires - 2025/aivancity PGE3 - Jan 2025/FR - PGE3 - 2425/"/>
    </mc:Choice>
  </mc:AlternateContent>
  <xr:revisionPtr revIDLastSave="0" documentId="13_ncr:1_{C0ECBE46-90BB-934E-8A31-5A94FED11D42}" xr6:coauthVersionLast="47" xr6:coauthVersionMax="47" xr10:uidLastSave="{00000000-0000-0000-0000-000000000000}"/>
  <bookViews>
    <workbookView xWindow="40" yWindow="500" windowWidth="28760" windowHeight="15700" tabRatio="500" firstSheet="2" activeTab="11" xr2:uid="{00000000-000D-0000-FFFF-FFFF00000000}"/>
  </bookViews>
  <sheets>
    <sheet name="Titre" sheetId="3" r:id="rId1"/>
    <sheet name="Lancement blank" sheetId="22" r:id="rId2"/>
    <sheet name="Lancement" sheetId="1" r:id="rId3"/>
    <sheet name="Janvier blank" sheetId="23" r:id="rId4"/>
    <sheet name="Janvier" sheetId="4" r:id="rId5"/>
    <sheet name="Fevrier blank" sheetId="12" r:id="rId6"/>
    <sheet name="Fevrier" sheetId="5" r:id="rId7"/>
    <sheet name="Mars blank" sheetId="13" r:id="rId8"/>
    <sheet name="Mars" sheetId="6" r:id="rId9"/>
    <sheet name="Avril blank" sheetId="14" r:id="rId10"/>
    <sheet name="Avril" sheetId="7" r:id="rId11"/>
    <sheet name="Mai blank" sheetId="20" r:id="rId12"/>
    <sheet name="Mai" sheetId="21" r:id="rId13"/>
    <sheet name="Sensibilité blank" sheetId="24" r:id="rId14"/>
    <sheet name="Sensibilité" sheetId="25" r:id="rId15"/>
  </sheets>
  <definedNames>
    <definedName name="_xlnm.Print_Area" localSheetId="10">Avril!$A$1:$G$51</definedName>
    <definedName name="_xlnm.Print_Area" localSheetId="9">'Avril blank'!$A$1:$G$51</definedName>
    <definedName name="_xlnm.Print_Area" localSheetId="6">Fevrier!$A$1:$G$45</definedName>
    <definedName name="_xlnm.Print_Area" localSheetId="5">'Fevrier blank'!$A$1:$G$45</definedName>
    <definedName name="_xlnm.Print_Area" localSheetId="4">Janvier!$A$1:$G$44</definedName>
    <definedName name="_xlnm.Print_Area" localSheetId="3">'Janvier blank'!$A$1:$G$44</definedName>
    <definedName name="_xlnm.Print_Area" localSheetId="2">Lancement!$A$1:$G$29</definedName>
    <definedName name="_xlnm.Print_Area" localSheetId="1">'Lancement blank'!$A$1:$G$29</definedName>
    <definedName name="_xlnm.Print_Area" localSheetId="8">Mars!$A$1:$G$53</definedName>
    <definedName name="_xlnm.Print_Area" localSheetId="7">'Mars blank'!$A$1:$G$53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1" i="21" l="1"/>
  <c r="L51" i="20"/>
  <c r="I59" i="21"/>
  <c r="L37" i="20"/>
  <c r="L26" i="20"/>
  <c r="I44" i="20"/>
  <c r="I53" i="20"/>
  <c r="I43" i="20"/>
  <c r="I40" i="20"/>
  <c r="I39" i="20"/>
  <c r="I31" i="20"/>
  <c r="I30" i="20"/>
  <c r="I51" i="20"/>
  <c r="I27" i="20"/>
  <c r="F34" i="20"/>
  <c r="L38" i="20"/>
  <c r="F32" i="20"/>
  <c r="L50" i="20"/>
  <c r="F30" i="20"/>
  <c r="F29" i="20"/>
  <c r="F26" i="20"/>
  <c r="C27" i="20"/>
  <c r="C26" i="20"/>
  <c r="H50" i="20"/>
  <c r="H50" i="21"/>
  <c r="I28" i="20"/>
  <c r="I32" i="20"/>
  <c r="I33" i="20"/>
  <c r="L29" i="20"/>
  <c r="L31" i="20"/>
  <c r="C28" i="20"/>
  <c r="F27" i="20"/>
  <c r="F28" i="20"/>
  <c r="F31" i="20"/>
  <c r="I29" i="20"/>
  <c r="I50" i="20"/>
  <c r="L39" i="20"/>
  <c r="C48" i="7"/>
  <c r="C25" i="7"/>
  <c r="I44" i="21"/>
  <c r="C7" i="25"/>
  <c r="C8" i="25"/>
  <c r="C9" i="25"/>
  <c r="C10" i="25"/>
  <c r="C11" i="25"/>
  <c r="C12" i="25"/>
  <c r="C13" i="25"/>
  <c r="C14" i="25"/>
  <c r="C15" i="25"/>
  <c r="C16" i="25"/>
  <c r="I43" i="21"/>
  <c r="C7" i="24"/>
  <c r="C8" i="24"/>
  <c r="C9" i="24"/>
  <c r="C10" i="24"/>
  <c r="C11" i="24"/>
  <c r="C12" i="24"/>
  <c r="C13" i="24"/>
  <c r="C14" i="24"/>
  <c r="C15" i="24"/>
  <c r="C16" i="24"/>
  <c r="L37" i="21"/>
  <c r="F34" i="21"/>
  <c r="L38" i="21"/>
  <c r="F30" i="21"/>
  <c r="F29" i="21"/>
  <c r="F26" i="21"/>
  <c r="I32" i="21"/>
  <c r="C27" i="21"/>
  <c r="C26" i="21"/>
  <c r="C22" i="21"/>
  <c r="F33" i="20"/>
  <c r="L28" i="20"/>
  <c r="I52" i="20"/>
  <c r="I54" i="20"/>
  <c r="L30" i="20"/>
  <c r="I55" i="20"/>
  <c r="I57" i="20"/>
  <c r="L31" i="21"/>
  <c r="I53" i="21"/>
  <c r="L39" i="21"/>
  <c r="C28" i="21"/>
  <c r="F27" i="21"/>
  <c r="F28" i="21"/>
  <c r="F31" i="21"/>
  <c r="C22" i="20"/>
  <c r="I65" i="21"/>
  <c r="F35" i="20"/>
  <c r="F36" i="20"/>
  <c r="L32" i="20"/>
  <c r="L33" i="20"/>
  <c r="L41" i="20"/>
  <c r="L43" i="20"/>
  <c r="I34" i="20"/>
  <c r="I35" i="20"/>
  <c r="F49" i="20"/>
  <c r="L49" i="20"/>
  <c r="L53" i="20"/>
  <c r="L28" i="21"/>
  <c r="C34" i="7"/>
  <c r="C27" i="1"/>
  <c r="C8" i="23"/>
  <c r="F35" i="7"/>
  <c r="C36" i="7"/>
  <c r="C37" i="7"/>
  <c r="C40" i="6"/>
  <c r="C38" i="7"/>
  <c r="F32" i="21"/>
  <c r="F27" i="1"/>
  <c r="F37" i="4"/>
  <c r="C28" i="4"/>
  <c r="C17" i="4"/>
  <c r="F29" i="4"/>
  <c r="C30" i="4"/>
  <c r="C32" i="5"/>
  <c r="F33" i="5"/>
  <c r="C34" i="5"/>
  <c r="C35" i="5"/>
  <c r="C36" i="6"/>
  <c r="F37" i="6"/>
  <c r="C38" i="6"/>
  <c r="C39" i="6"/>
  <c r="C16" i="1"/>
  <c r="C19" i="1"/>
  <c r="C20" i="4"/>
  <c r="C21" i="4"/>
  <c r="C19" i="5"/>
  <c r="C22" i="5"/>
  <c r="C23" i="5"/>
  <c r="C24" i="5"/>
  <c r="C25" i="5"/>
  <c r="C43" i="5"/>
  <c r="C21" i="6"/>
  <c r="C22" i="6"/>
  <c r="C25" i="6"/>
  <c r="F52" i="6"/>
  <c r="C23" i="7"/>
  <c r="C26" i="6"/>
  <c r="C27" i="6"/>
  <c r="C28" i="6"/>
  <c r="C29" i="6"/>
  <c r="C51" i="6"/>
  <c r="C19" i="7"/>
  <c r="C24" i="7"/>
  <c r="C26" i="7"/>
  <c r="C27" i="7"/>
  <c r="C49" i="7"/>
  <c r="I31" i="21"/>
  <c r="I33" i="21"/>
  <c r="I63" i="21"/>
  <c r="C47" i="6"/>
  <c r="C45" i="7"/>
  <c r="I27" i="21"/>
  <c r="C48" i="6"/>
  <c r="F37" i="20"/>
  <c r="I41" i="20"/>
  <c r="I42" i="20"/>
  <c r="I45" i="20"/>
  <c r="L30" i="21"/>
  <c r="I52" i="21"/>
  <c r="F33" i="21"/>
  <c r="E6" i="25"/>
  <c r="L50" i="21"/>
  <c r="F42" i="5"/>
  <c r="F45" i="7"/>
  <c r="I39" i="21"/>
  <c r="C21" i="1"/>
  <c r="C28" i="1"/>
  <c r="C46" i="7"/>
  <c r="I28" i="21"/>
  <c r="I29" i="21"/>
  <c r="I50" i="21"/>
  <c r="F47" i="6"/>
  <c r="F29" i="1"/>
  <c r="C14" i="4"/>
  <c r="C23" i="4"/>
  <c r="C38" i="4"/>
  <c r="C16" i="5"/>
  <c r="C27" i="5"/>
  <c r="C44" i="5"/>
  <c r="C18" i="6"/>
  <c r="C31" i="6"/>
  <c r="C52" i="6"/>
  <c r="C16" i="7"/>
  <c r="C29" i="7"/>
  <c r="C50" i="7"/>
  <c r="L26" i="21"/>
  <c r="C29" i="1"/>
  <c r="C49" i="6"/>
  <c r="C8" i="4"/>
  <c r="F49" i="21"/>
  <c r="L49" i="21"/>
  <c r="F35" i="21"/>
  <c r="F36" i="21"/>
  <c r="L32" i="21"/>
  <c r="C47" i="7"/>
  <c r="F32" i="5"/>
  <c r="F28" i="4"/>
  <c r="F37" i="21"/>
  <c r="I41" i="21"/>
  <c r="F30" i="4"/>
  <c r="C37" i="4"/>
  <c r="F36" i="6"/>
  <c r="F34" i="5"/>
  <c r="C33" i="5"/>
  <c r="C36" i="5"/>
  <c r="F44" i="5"/>
  <c r="F34" i="7"/>
  <c r="F36" i="7"/>
  <c r="C35" i="7"/>
  <c r="C39" i="7"/>
  <c r="F38" i="6"/>
  <c r="C37" i="6"/>
  <c r="C41" i="6"/>
  <c r="F49" i="6"/>
  <c r="C42" i="5"/>
  <c r="C39" i="4"/>
  <c r="C44" i="4"/>
  <c r="C29" i="4"/>
  <c r="C31" i="4"/>
  <c r="F38" i="4"/>
  <c r="F47" i="7"/>
  <c r="J34" i="7"/>
  <c r="F43" i="5"/>
  <c r="F39" i="4"/>
  <c r="C50" i="6"/>
  <c r="C45" i="5"/>
  <c r="C53" i="6"/>
  <c r="F45" i="5"/>
  <c r="F48" i="6"/>
  <c r="C51" i="7"/>
  <c r="I30" i="21"/>
  <c r="I67" i="21"/>
  <c r="F50" i="6"/>
  <c r="F53" i="6"/>
  <c r="F46" i="7"/>
  <c r="F6" i="25"/>
  <c r="I51" i="21"/>
  <c r="I54" i="21"/>
  <c r="F48" i="7"/>
  <c r="F51" i="7"/>
  <c r="I40" i="21"/>
  <c r="I42" i="21"/>
  <c r="I45" i="21"/>
  <c r="L29" i="21"/>
  <c r="L33" i="21"/>
  <c r="L41" i="21"/>
  <c r="L43" i="21"/>
  <c r="I34" i="21"/>
  <c r="I35" i="21"/>
  <c r="I55" i="21"/>
  <c r="I57" i="21"/>
  <c r="L5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Marie-Lys Leschiera</author>
  </authors>
  <commentList>
    <comment ref="K29" authorId="0" shapeId="0" xr:uid="{7D299E6F-6DB1-6C47-AF6F-DFB0155ECD7F}">
      <text>
        <r>
          <rPr>
            <sz val="10"/>
            <color rgb="FF000000"/>
            <rFont val="Tahoma"/>
            <family val="2"/>
          </rPr>
          <t>d'avril à mai</t>
        </r>
      </text>
    </comment>
    <comment ref="K30" authorId="0" shapeId="0" xr:uid="{1C473817-91FB-A54A-8EEB-677EE7651FF7}">
      <text>
        <r>
          <rPr>
            <sz val="10"/>
            <color rgb="FF000000"/>
            <rFont val="Tahoma"/>
            <family val="2"/>
          </rPr>
          <t>d'avril à mai</t>
        </r>
      </text>
    </comment>
    <comment ref="K31" authorId="0" shapeId="0" xr:uid="{B11E5BBF-939D-0D4E-8B5A-4F1AD064C4A0}">
      <text>
        <r>
          <rPr>
            <sz val="10"/>
            <color rgb="FF000000"/>
            <rFont val="Tahoma"/>
            <family val="2"/>
          </rPr>
          <t>d'avril à mai</t>
        </r>
      </text>
    </comment>
  </commentList>
</comments>
</file>

<file path=xl/sharedStrings.xml><?xml version="1.0" encoding="utf-8"?>
<sst xmlns="http://schemas.openxmlformats.org/spreadsheetml/2006/main" count="638" uniqueCount="170">
  <si>
    <t>- Achats matières :</t>
  </si>
  <si>
    <t>Le 22 décembre, j'approvisionne les matières nécessaires pour les ventes de janvier :</t>
  </si>
  <si>
    <t>Je passe d'excellentes fêtes de fin d'année en famille, dans l'attente de commencer à opérer en janvier !</t>
  </si>
  <si>
    <t>BILAN FIN DECEMBRE</t>
  </si>
  <si>
    <t>Stock</t>
  </si>
  <si>
    <t>Disponibilités</t>
  </si>
  <si>
    <t>Capital social</t>
  </si>
  <si>
    <t>TABLEAU DES FLUX DE TRESORERIE</t>
  </si>
  <si>
    <t>Disponibilités de début</t>
  </si>
  <si>
    <t>Entrées de trésorerie</t>
  </si>
  <si>
    <t xml:space="preserve">   Capital social</t>
  </si>
  <si>
    <t>Sorties de trésorerie</t>
  </si>
  <si>
    <t xml:space="preserve">   Achats matières</t>
  </si>
  <si>
    <t>Disponibilités de fin</t>
  </si>
  <si>
    <t>LANCEMENT DE L'ACTIVITE LE 20 DECEMBRE</t>
  </si>
  <si>
    <t>Je crée mon entreprise en y investissant une partie de mes économies :</t>
  </si>
  <si>
    <t>Total actif</t>
  </si>
  <si>
    <t>Total passif</t>
  </si>
  <si>
    <t>ACTIF</t>
  </si>
  <si>
    <t>PASSIF</t>
  </si>
  <si>
    <t>JANVIER</t>
  </si>
  <si>
    <t>COMPTE DE RESULTAT</t>
  </si>
  <si>
    <t>Je loue mon camion :</t>
  </si>
  <si>
    <t>- Matière :</t>
  </si>
  <si>
    <t>- Eau &amp; Electricité :</t>
  </si>
  <si>
    <t xml:space="preserve">   (achetée en décembre)</t>
  </si>
  <si>
    <t>Chiffre d'affaires</t>
  </si>
  <si>
    <t>Matière</t>
  </si>
  <si>
    <t>Eau &amp; Electricité</t>
  </si>
  <si>
    <t>Total</t>
  </si>
  <si>
    <t xml:space="preserve">   Eau &amp; Electricité</t>
  </si>
  <si>
    <t>COUT DE REVIENT D'UNE PIZZA</t>
  </si>
  <si>
    <t>- Coût des pizzas vendues</t>
  </si>
  <si>
    <t>- Location du camion</t>
  </si>
  <si>
    <t>Bénéfice mensuel</t>
  </si>
  <si>
    <t>Bénéfice janvier</t>
  </si>
  <si>
    <t xml:space="preserve">   Ventes au comptant</t>
  </si>
  <si>
    <t xml:space="preserve">   Location camion</t>
  </si>
  <si>
    <t>FEVRIER</t>
  </si>
  <si>
    <t>Point d'équilibre :</t>
  </si>
  <si>
    <t>COMBIEN DOIS-JE VENDRE DE PIZZAS POUR COUVRIR LES FRAIS FIXES ?</t>
  </si>
  <si>
    <t>avec une entreprise locale (paiement à 30 jours).</t>
  </si>
  <si>
    <t>quel que soit le type de client.</t>
  </si>
  <si>
    <t>- Salarié à mi-temps :</t>
  </si>
  <si>
    <t>Hormis la location du camion, les dépenses à prendre en compte sont les suivantes :</t>
  </si>
  <si>
    <t>Créances clients</t>
  </si>
  <si>
    <t xml:space="preserve">   Achat matière</t>
  </si>
  <si>
    <t xml:space="preserve">   Salarié</t>
  </si>
  <si>
    <t>- Salarié</t>
  </si>
  <si>
    <t>- Achat matière :</t>
  </si>
  <si>
    <t>(coût matière/pizza identique au mois précédent)</t>
  </si>
  <si>
    <t>Bénéfice février</t>
  </si>
  <si>
    <t>MARS</t>
  </si>
  <si>
    <t>J'achète le camion :</t>
  </si>
  <si>
    <t>- Assurance du camion :</t>
  </si>
  <si>
    <t>Réserves</t>
  </si>
  <si>
    <t>Bénéfice mars</t>
  </si>
  <si>
    <t>- Amortissements cumulés</t>
  </si>
  <si>
    <t>Capitaux propres</t>
  </si>
  <si>
    <t>BILAN FIN DE MOIS</t>
  </si>
  <si>
    <t xml:space="preserve">   Collecte créances clients</t>
  </si>
  <si>
    <t xml:space="preserve">   Assurance camion</t>
  </si>
  <si>
    <t>Valeur brute du camion</t>
  </si>
  <si>
    <t>Valeur nette du camion</t>
  </si>
  <si>
    <t>Durée d'amortissement :</t>
  </si>
  <si>
    <t>pour le camion</t>
  </si>
  <si>
    <t>AVRIL</t>
  </si>
  <si>
    <t xml:space="preserve">   Fin paiement camion</t>
  </si>
  <si>
    <t xml:space="preserve">   Achat camion</t>
  </si>
  <si>
    <t>Dette fourniss. camion</t>
  </si>
  <si>
    <t>- Amortissement camion</t>
  </si>
  <si>
    <t>- Assurance camion</t>
  </si>
  <si>
    <t>Bénéfice avril</t>
  </si>
  <si>
    <t>MON PETIT CAMION PIZZA</t>
  </si>
  <si>
    <t>EBITDA</t>
  </si>
  <si>
    <t>EBITDA: Earnings Before Interest, Tax, Depreciation &amp; Amortization</t>
  </si>
  <si>
    <t>EBIT: Earnings Before Interest &amp; Tax</t>
  </si>
  <si>
    <t>Je vends :</t>
  </si>
  <si>
    <t>Le prix de vente est de :</t>
  </si>
  <si>
    <t xml:space="preserve">   (tous les clients paient comptant)</t>
  </si>
  <si>
    <t>à des clients particuliers qui paient comptant.</t>
  </si>
  <si>
    <t>Je me rends au supermarché pour acheter des matières premières :</t>
  </si>
  <si>
    <t>à une entreprise locale</t>
  </si>
  <si>
    <t>Prix de vente :</t>
  </si>
  <si>
    <r>
      <t xml:space="preserve">avec une entreprise locale </t>
    </r>
    <r>
      <rPr>
        <b/>
        <sz val="14"/>
        <color theme="1"/>
        <rFont val="Calibri"/>
        <family val="2"/>
        <scheme val="minor"/>
      </rPr>
      <t>(paiement à 60 jours).</t>
    </r>
  </si>
  <si>
    <t>Achat matière :</t>
  </si>
  <si>
    <t>Coût matière :</t>
  </si>
  <si>
    <t>Eau &amp; électricité :</t>
  </si>
  <si>
    <t>Assurance du camion :</t>
  </si>
  <si>
    <t>Au début du mois, je contracte un prêt auprès de Alpha-Bank :</t>
  </si>
  <si>
    <t>Montant emprunté :</t>
  </si>
  <si>
    <t>(principal de l'emprunt)</t>
  </si>
  <si>
    <t>Taux d'intérêt :</t>
  </si>
  <si>
    <t>par mois</t>
  </si>
  <si>
    <t>Je commence à payer des impôts sur mes bénéfices :</t>
  </si>
  <si>
    <t>Taux d'imposition :</t>
  </si>
  <si>
    <t>Salarié à mi-temps :</t>
  </si>
  <si>
    <t>COÛT DE REVIENT D'UNE PIZZA</t>
  </si>
  <si>
    <t>- Intérêts d'emprunt</t>
  </si>
  <si>
    <t>Bénéfice avant impôts</t>
  </si>
  <si>
    <t>- Impôts</t>
  </si>
  <si>
    <t>Bénéfice net mensuel</t>
  </si>
  <si>
    <t>Marge sur coûts variables</t>
  </si>
  <si>
    <t>EBIT (Résultat d'exploitation)</t>
  </si>
  <si>
    <t xml:space="preserve">   Emprunt auprès d'Alpha-Bank</t>
  </si>
  <si>
    <t xml:space="preserve">   Intérêts d'emprunt</t>
  </si>
  <si>
    <t>Flux de trésorerie d'exploitation</t>
  </si>
  <si>
    <t>Flux de trésorerie d'investissement</t>
  </si>
  <si>
    <t>Flux de trésorerie de financement</t>
  </si>
  <si>
    <t>Flux de trésorerie total</t>
  </si>
  <si>
    <t>MAI</t>
  </si>
  <si>
    <t xml:space="preserve">   EBITDA</t>
  </si>
  <si>
    <t xml:space="preserve">   - Augmentation des stocks</t>
  </si>
  <si>
    <t xml:space="preserve">   - Augmentation des créances clients</t>
  </si>
  <si>
    <t xml:space="preserve">   + Augmentation des dettes fournisseurs</t>
  </si>
  <si>
    <t xml:space="preserve">   - Impôts</t>
  </si>
  <si>
    <t xml:space="preserve">   Valeur brute du camion</t>
  </si>
  <si>
    <t xml:space="preserve">   - Amortissements cumulés</t>
  </si>
  <si>
    <t>Stocks</t>
  </si>
  <si>
    <t xml:space="preserve">   Créances clients avril</t>
  </si>
  <si>
    <t xml:space="preserve">   Créances clients mai</t>
  </si>
  <si>
    <t>Créances clients (total)</t>
  </si>
  <si>
    <t xml:space="preserve">   Réserves</t>
  </si>
  <si>
    <t xml:space="preserve">   Bénéfice net mensuel</t>
  </si>
  <si>
    <t>Emprunt auprès d'Alpha-Bank</t>
  </si>
  <si>
    <t>Dettes fournisseurs</t>
  </si>
  <si>
    <t>(paiement 50% comptant &amp; 50% le mois suivant)</t>
  </si>
  <si>
    <t>Je dois aussi supporter les coûts suivants :</t>
  </si>
  <si>
    <t>Délais de paiement client :</t>
  </si>
  <si>
    <t>1/</t>
  </si>
  <si>
    <t>2/</t>
  </si>
  <si>
    <t>3/</t>
  </si>
  <si>
    <t>4/</t>
  </si>
  <si>
    <t>5/</t>
  </si>
  <si>
    <t>ANALYSE DE SENSIBILITE (MAI)</t>
  </si>
  <si>
    <t>Marge opérationnelle</t>
  </si>
  <si>
    <t>ROCE</t>
  </si>
  <si>
    <t>Scenario de départ</t>
  </si>
  <si>
    <t>Coût des matières premières *2</t>
  </si>
  <si>
    <t>Coût de l'eau et de l'électricité *2</t>
  </si>
  <si>
    <t>Coûts fixes *2</t>
  </si>
  <si>
    <t>Taux d'intérêt *2</t>
  </si>
  <si>
    <t>Prix de vente /2</t>
  </si>
  <si>
    <t>Stocks *2</t>
  </si>
  <si>
    <t>Créances clients *2</t>
  </si>
  <si>
    <t>Dettes fournisseurs /2</t>
  </si>
  <si>
    <t>Quantité vendue /2</t>
  </si>
  <si>
    <t>Immobilisations nettes *2</t>
  </si>
  <si>
    <t>Marge opérationnelle :</t>
  </si>
  <si>
    <t>Je vends aussi :</t>
  </si>
  <si>
    <t>(payable 50% en mars, 50% en avril fin de mois)</t>
  </si>
  <si>
    <t>pour la totalité de la valeur du camion</t>
  </si>
  <si>
    <t>Hormis la location du camion, les coûts à prendre en compte sont les suivants :</t>
  </si>
  <si>
    <t>Ressources employées par l'exploitation : </t>
  </si>
  <si>
    <t>- Dettes fournisseurs</t>
  </si>
  <si>
    <t xml:space="preserve">  Stocks</t>
  </si>
  <si>
    <t>Besoin en Fonds de Roulement</t>
  </si>
  <si>
    <t>Capitaux Engagés</t>
  </si>
  <si>
    <t>Free Cash Flow</t>
  </si>
  <si>
    <t>+ Amortissement</t>
  </si>
  <si>
    <t>- Investissement dans BFR</t>
  </si>
  <si>
    <t>- Capex</t>
  </si>
  <si>
    <t xml:space="preserve">   EBIT * (1-Taux imposition)</t>
  </si>
  <si>
    <t>+ Créances clients</t>
  </si>
  <si>
    <t>Analyse du Besoin en Fonds de Roulement :</t>
  </si>
  <si>
    <t>Nb. jours de créances clients (DSO)</t>
  </si>
  <si>
    <t>Nb. jours de dettes fournisseurs (DPO)</t>
  </si>
  <si>
    <t>Nb. jours de stock</t>
  </si>
  <si>
    <t>ROCE avant impôts</t>
  </si>
  <si>
    <t>ROCE après impôts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</si>
</sst>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* #,##0.00_)\ &quot;€&quot;_ ;_ * \(#,##0.00\)\ &quot;€&quot;_ ;_ * &quot;-&quot;??_)\ &quot;€&quot;_ ;_ @_ "/>
    <numFmt numFmtId="164" formatCode="0&quot; €&quot;"/>
    <numFmt numFmtId="165" formatCode="0&quot; pizzas&quot;"/>
    <numFmt numFmtId="166" formatCode="0&quot; €/pizza&quot;"/>
    <numFmt numFmtId="167" formatCode="0.00&quot; €/pizza&quot;"/>
    <numFmt numFmtId="168" formatCode="0&quot; ans&quot;"/>
    <numFmt numFmtId="169" formatCode="0\ 000&quot; €&quot;"/>
    <numFmt numFmtId="170" formatCode="0\ 000&quot; pizzas&quot;"/>
    <numFmt numFmtId="171" formatCode="0.000%"/>
    <numFmt numFmtId="172" formatCode="_(&quot;$&quot;* #,##0_);_(&quot;$&quot;* \(#,##0\);_(&quot;$&quot;* &quot;-&quot;??_);_(@_)"/>
    <numFmt numFmtId="173" formatCode="0&quot; jours&quot;"/>
    <numFmt numFmtId="174" formatCode="0,000&quot; €&quot;"/>
    <numFmt numFmtId="175" formatCode="0&quot; - &quot;"/>
    <numFmt numFmtId="176" formatCode="0.0%"/>
    <numFmt numFmtId="177" formatCode="_-* #,##0\ [$€-40C]_-;\-* #,##0\ [$€-40C]_-;_-* &quot;-&quot;??\ [$€-40C]_-;_-@_-"/>
    <numFmt numFmtId="178" formatCode="_ * #,##0_)\ &quot;€&quot;_ ;_ * \(#,##0\)\ &quot;€&quot;_ ;_ * &quot;-&quot;??_)\ &quot;€&quot;_ ;_ @_ "/>
    <numFmt numFmtId="179" formatCode="0.0&quot; jours&quot;"/>
  </numFmts>
  <fonts count="1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ahoma"/>
      <family val="2"/>
    </font>
    <font>
      <b/>
      <u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185C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1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quotePrefix="1" applyFont="1" applyFill="1" applyAlignment="1">
      <alignment horizontal="left"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1" fillId="2" borderId="0" xfId="0" quotePrefix="1" applyFont="1" applyFill="1" applyAlignment="1">
      <alignment horizontal="right" vertical="center" wrapText="1"/>
    </xf>
    <xf numFmtId="167" fontId="2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167" fontId="1" fillId="2" borderId="2" xfId="0" applyNumberFormat="1" applyFont="1" applyFill="1" applyBorder="1" applyAlignment="1">
      <alignment vertical="center"/>
    </xf>
    <xf numFmtId="167" fontId="1" fillId="2" borderId="6" xfId="0" applyNumberFormat="1" applyFont="1" applyFill="1" applyBorder="1" applyAlignment="1">
      <alignment vertical="center"/>
    </xf>
    <xf numFmtId="167" fontId="2" fillId="2" borderId="8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1" fillId="2" borderId="3" xfId="0" quotePrefix="1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3" xfId="0" quotePrefix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164" fontId="9" fillId="2" borderId="2" xfId="0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164" fontId="9" fillId="2" borderId="4" xfId="0" applyNumberFormat="1" applyFont="1" applyFill="1" applyBorder="1" applyAlignment="1">
      <alignment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169" fontId="2" fillId="2" borderId="0" xfId="0" applyNumberFormat="1" applyFont="1" applyFill="1" applyAlignment="1">
      <alignment vertical="center"/>
    </xf>
    <xf numFmtId="170" fontId="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9" fontId="2" fillId="2" borderId="0" xfId="4" quotePrefix="1" applyFont="1" applyFill="1" applyAlignment="1">
      <alignment horizontal="right" vertical="center" wrapText="1"/>
    </xf>
    <xf numFmtId="171" fontId="2" fillId="2" borderId="0" xfId="4" quotePrefix="1" applyNumberFormat="1" applyFont="1" applyFill="1" applyAlignment="1">
      <alignment horizontal="right" vertical="center" wrapText="1"/>
    </xf>
    <xf numFmtId="169" fontId="1" fillId="2" borderId="0" xfId="0" applyNumberFormat="1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1" fillId="2" borderId="0" xfId="0" quotePrefix="1" applyFont="1" applyFill="1" applyAlignment="1">
      <alignment vertical="center"/>
    </xf>
    <xf numFmtId="0" fontId="11" fillId="2" borderId="0" xfId="0" applyFont="1" applyFill="1" applyAlignment="1">
      <alignment vertical="center"/>
    </xf>
    <xf numFmtId="173" fontId="2" fillId="2" borderId="0" xfId="0" applyNumberFormat="1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174" fontId="2" fillId="2" borderId="0" xfId="0" applyNumberFormat="1" applyFont="1" applyFill="1" applyAlignment="1">
      <alignment vertical="center"/>
    </xf>
    <xf numFmtId="174" fontId="1" fillId="2" borderId="2" xfId="0" applyNumberFormat="1" applyFont="1" applyFill="1" applyBorder="1" applyAlignment="1">
      <alignment vertical="center"/>
    </xf>
    <xf numFmtId="174" fontId="1" fillId="2" borderId="4" xfId="0" applyNumberFormat="1" applyFont="1" applyFill="1" applyBorder="1" applyAlignment="1">
      <alignment vertical="center"/>
    </xf>
    <xf numFmtId="174" fontId="2" fillId="2" borderId="8" xfId="0" applyNumberFormat="1" applyFont="1" applyFill="1" applyBorder="1" applyAlignment="1">
      <alignment vertical="center"/>
    </xf>
    <xf numFmtId="174" fontId="2" fillId="2" borderId="4" xfId="0" applyNumberFormat="1" applyFont="1" applyFill="1" applyBorder="1" applyAlignment="1">
      <alignment vertical="center"/>
    </xf>
    <xf numFmtId="174" fontId="2" fillId="2" borderId="6" xfId="0" applyNumberFormat="1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2" fillId="9" borderId="7" xfId="0" applyFont="1" applyFill="1" applyBorder="1" applyAlignment="1">
      <alignment horizontal="left" vertical="center"/>
    </xf>
    <xf numFmtId="0" fontId="12" fillId="9" borderId="8" xfId="0" applyFont="1" applyFill="1" applyBorder="1" applyAlignment="1">
      <alignment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175" fontId="12" fillId="9" borderId="7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vertical="center"/>
    </xf>
    <xf numFmtId="176" fontId="12" fillId="9" borderId="8" xfId="4" applyNumberFormat="1" applyFont="1" applyFill="1" applyBorder="1" applyAlignment="1">
      <alignment horizontal="center" vertical="center"/>
    </xf>
    <xf numFmtId="176" fontId="12" fillId="9" borderId="9" xfId="4" applyNumberFormat="1" applyFont="1" applyFill="1" applyBorder="1" applyAlignment="1">
      <alignment horizontal="center" vertical="center"/>
    </xf>
    <xf numFmtId="177" fontId="9" fillId="2" borderId="4" xfId="3" applyNumberFormat="1" applyFont="1" applyFill="1" applyBorder="1" applyAlignment="1">
      <alignment vertical="center"/>
    </xf>
    <xf numFmtId="177" fontId="1" fillId="2" borderId="4" xfId="3" applyNumberFormat="1" applyFont="1" applyFill="1" applyBorder="1" applyAlignment="1">
      <alignment vertical="center"/>
    </xf>
    <xf numFmtId="177" fontId="2" fillId="2" borderId="8" xfId="3" applyNumberFormat="1" applyFont="1" applyFill="1" applyBorder="1" applyAlignment="1">
      <alignment vertical="center"/>
    </xf>
    <xf numFmtId="178" fontId="9" fillId="2" borderId="4" xfId="3" applyNumberFormat="1" applyFont="1" applyFill="1" applyBorder="1" applyAlignment="1">
      <alignment vertical="center"/>
    </xf>
    <xf numFmtId="178" fontId="1" fillId="2" borderId="4" xfId="3" applyNumberFormat="1" applyFont="1" applyFill="1" applyBorder="1" applyAlignment="1">
      <alignment vertical="center"/>
    </xf>
    <xf numFmtId="178" fontId="2" fillId="2" borderId="8" xfId="3" applyNumberFormat="1" applyFont="1" applyFill="1" applyBorder="1" applyAlignment="1">
      <alignment vertical="center"/>
    </xf>
    <xf numFmtId="9" fontId="1" fillId="2" borderId="0" xfId="4" applyFont="1" applyFill="1" applyAlignment="1">
      <alignment vertical="center"/>
    </xf>
    <xf numFmtId="0" fontId="3" fillId="7" borderId="0" xfId="0" applyFont="1" applyFill="1"/>
    <xf numFmtId="176" fontId="3" fillId="7" borderId="0" xfId="4" applyNumberFormat="1" applyFont="1" applyFill="1"/>
    <xf numFmtId="0" fontId="3" fillId="6" borderId="0" xfId="0" applyFont="1" applyFill="1"/>
    <xf numFmtId="176" fontId="3" fillId="6" borderId="0" xfId="4" applyNumberFormat="1" applyFont="1" applyFill="1"/>
    <xf numFmtId="0" fontId="1" fillId="2" borderId="0" xfId="0" applyFont="1" applyFill="1"/>
    <xf numFmtId="0" fontId="2" fillId="2" borderId="0" xfId="0" applyFont="1" applyFill="1"/>
    <xf numFmtId="0" fontId="15" fillId="2" borderId="0" xfId="0" applyFont="1" applyFill="1"/>
    <xf numFmtId="0" fontId="0" fillId="2" borderId="0" xfId="0" applyFill="1"/>
    <xf numFmtId="177" fontId="11" fillId="2" borderId="0" xfId="0" applyNumberFormat="1" applyFont="1" applyFill="1"/>
    <xf numFmtId="0" fontId="11" fillId="2" borderId="0" xfId="0" applyFont="1" applyFill="1"/>
    <xf numFmtId="0" fontId="11" fillId="2" borderId="0" xfId="0" quotePrefix="1" applyFont="1" applyFill="1"/>
    <xf numFmtId="177" fontId="1" fillId="2" borderId="0" xfId="0" applyNumberFormat="1" applyFont="1" applyFill="1"/>
    <xf numFmtId="177" fontId="2" fillId="2" borderId="0" xfId="0" applyNumberFormat="1" applyFont="1" applyFill="1"/>
    <xf numFmtId="0" fontId="3" fillId="10" borderId="0" xfId="0" applyFont="1" applyFill="1"/>
    <xf numFmtId="0" fontId="1" fillId="2" borderId="0" xfId="0" quotePrefix="1" applyFont="1" applyFill="1"/>
    <xf numFmtId="174" fontId="1" fillId="2" borderId="0" xfId="0" applyNumberFormat="1" applyFont="1" applyFill="1"/>
    <xf numFmtId="174" fontId="1" fillId="2" borderId="0" xfId="0" applyNumberFormat="1" applyFont="1" applyFill="1" applyAlignment="1">
      <alignment vertical="center"/>
    </xf>
    <xf numFmtId="174" fontId="11" fillId="2" borderId="0" xfId="0" applyNumberFormat="1" applyFont="1" applyFill="1" applyAlignment="1">
      <alignment vertical="center"/>
    </xf>
    <xf numFmtId="164" fontId="1" fillId="2" borderId="0" xfId="0" applyNumberFormat="1" applyFont="1" applyFill="1"/>
    <xf numFmtId="174" fontId="3" fillId="10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179" fontId="1" fillId="12" borderId="0" xfId="0" applyNumberFormat="1" applyFont="1" applyFill="1" applyAlignment="1">
      <alignment vertical="center"/>
    </xf>
    <xf numFmtId="179" fontId="1" fillId="2" borderId="0" xfId="0" applyNumberFormat="1" applyFont="1" applyFill="1" applyAlignment="1">
      <alignment vertical="center"/>
    </xf>
    <xf numFmtId="179" fontId="1" fillId="13" borderId="0" xfId="0" applyNumberFormat="1" applyFont="1" applyFill="1" applyAlignment="1">
      <alignment vertical="center"/>
    </xf>
    <xf numFmtId="179" fontId="1" fillId="11" borderId="0" xfId="0" applyNumberFormat="1" applyFont="1" applyFill="1" applyAlignment="1">
      <alignment vertical="center"/>
    </xf>
    <xf numFmtId="174" fontId="1" fillId="14" borderId="0" xfId="0" applyNumberFormat="1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5" borderId="0" xfId="0" quotePrefix="1" applyFont="1" applyFill="1" applyAlignment="1">
      <alignment horizontal="center" vertical="center"/>
    </xf>
    <xf numFmtId="0" fontId="3" fillId="6" borderId="0" xfId="0" quotePrefix="1" applyFont="1" applyFill="1" applyAlignment="1">
      <alignment horizontal="center" vertical="center"/>
    </xf>
    <xf numFmtId="0" fontId="1" fillId="2" borderId="0" xfId="0" quotePrefix="1" applyFont="1" applyFill="1" applyAlignment="1">
      <alignment horizontal="left" vertical="center" wrapText="1"/>
    </xf>
    <xf numFmtId="0" fontId="3" fillId="7" borderId="0" xfId="0" quotePrefix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2" fontId="3" fillId="7" borderId="0" xfId="3" quotePrefix="1" applyNumberFormat="1" applyFont="1" applyFill="1" applyAlignment="1">
      <alignment horizontal="center" vertical="center"/>
    </xf>
    <xf numFmtId="172" fontId="3" fillId="7" borderId="0" xfId="3" applyNumberFormat="1" applyFont="1" applyFill="1" applyAlignment="1">
      <alignment horizontal="center" vertical="center"/>
    </xf>
  </cellXfs>
  <cellStyles count="5">
    <cellStyle name="Lien hypertexte" xfId="1" builtinId="8" hidden="1"/>
    <cellStyle name="Lien hypertexte visité" xfId="2" builtinId="9" hidden="1"/>
    <cellStyle name="Monétaire" xfId="3" builtinId="4"/>
    <cellStyle name="Normal" xfId="0" builtinId="0"/>
    <cellStyle name="Pourcentage" xfId="4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291955</xdr:colOff>
      <xdr:row>22</xdr:row>
      <xdr:rowOff>204367</xdr:rowOff>
    </xdr:from>
    <xdr:to>
      <xdr:col>12</xdr:col>
      <xdr:colOff>218966</xdr:colOff>
      <xdr:row>53</xdr:row>
      <xdr:rowOff>133276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604180-C0ED-DA5F-4232-670922B95B7A}"/>
            </a:ext>
          </a:extLst>
        </xdr:cNvPr>
        <xdr:cNvSpPr/>
      </xdr:nvSpPr>
      <xdr:spPr>
        <a:xfrm>
          <a:off x="13167127" y="5021608"/>
          <a:ext cx="4437701" cy="76218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241905</xdr:colOff>
      <xdr:row>22</xdr:row>
      <xdr:rowOff>166309</xdr:rowOff>
    </xdr:from>
    <xdr:to>
      <xdr:col>12</xdr:col>
      <xdr:colOff>174130</xdr:colOff>
      <xdr:row>54</xdr:row>
      <xdr:rowOff>59954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6BF925-0E90-D646-9588-162BF9775623}"/>
            </a:ext>
          </a:extLst>
        </xdr:cNvPr>
        <xdr:cNvSpPr/>
      </xdr:nvSpPr>
      <xdr:spPr>
        <a:xfrm>
          <a:off x="13108215" y="4974166"/>
          <a:ext cx="4437701" cy="76345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zoomScale="102" workbookViewId="0">
      <selection activeCell="D9" sqref="D9"/>
    </sheetView>
  </sheetViews>
  <sheetFormatPr baseColWidth="10" defaultRowHeight="19" x14ac:dyDescent="0.2"/>
  <cols>
    <col min="1" max="1" width="3.83203125" style="1" customWidth="1"/>
    <col min="2" max="2" width="24.6640625" style="1" bestFit="1" customWidth="1"/>
    <col min="3" max="4" width="10.83203125" style="1"/>
    <col min="5" max="5" width="24.6640625" style="1" bestFit="1" customWidth="1"/>
    <col min="6" max="6" width="10.83203125" style="1"/>
    <col min="7" max="7" width="3.6640625" style="1" customWidth="1"/>
    <col min="8" max="16384" width="10.83203125" style="1"/>
  </cols>
  <sheetData>
    <row r="1" spans="1:7" ht="24" customHeight="1" x14ac:dyDescent="0.2">
      <c r="A1" s="103" t="s">
        <v>73</v>
      </c>
      <c r="B1" s="103"/>
      <c r="C1" s="103"/>
      <c r="D1" s="103"/>
      <c r="E1" s="103"/>
      <c r="F1" s="103"/>
      <c r="G1" s="103"/>
    </row>
    <row r="2" spans="1:7" x14ac:dyDescent="0.2">
      <c r="A2" s="103"/>
      <c r="B2" s="103"/>
      <c r="C2" s="103"/>
      <c r="D2" s="103"/>
      <c r="E2" s="103"/>
      <c r="F2" s="103"/>
      <c r="G2" s="103"/>
    </row>
    <row r="3" spans="1:7" x14ac:dyDescent="0.2">
      <c r="A3" s="103"/>
      <c r="B3" s="103"/>
      <c r="C3" s="103"/>
      <c r="D3" s="103"/>
      <c r="E3" s="103"/>
      <c r="F3" s="103"/>
      <c r="G3" s="103"/>
    </row>
  </sheetData>
  <mergeCells count="1">
    <mergeCell ref="A1:G3"/>
  </mergeCells>
  <phoneticPr fontId="7" type="noConversion"/>
  <printOptions horizontalCentered="1" verticalCentered="1"/>
  <pageMargins left="0.70000000000000007" right="0.70000000000000007" top="0.75000000000000011" bottom="0.75000000000000011" header="0.30000000000000004" footer="0.30000000000000004"/>
  <pageSetup paperSize="9" scale="89" orientation="portrait" horizontalDpi="0" verticalDpi="0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86F6-D9A4-3C46-9466-3AF0732271A9}">
  <sheetPr>
    <pageSetUpPr fitToPage="1"/>
  </sheetPr>
  <dimension ref="A1:G29"/>
  <sheetViews>
    <sheetView zoomScale="102" workbookViewId="0">
      <selection activeCell="E20" sqref="E20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4" width="10.83203125" style="1"/>
    <col min="5" max="5" width="24.6640625" style="1" bestFit="1" customWidth="1"/>
    <col min="6" max="6" width="10.83203125" style="1"/>
    <col min="7" max="7" width="3.6640625" style="1" customWidth="1"/>
    <col min="8" max="16384" width="10.83203125" style="1"/>
  </cols>
  <sheetData>
    <row r="1" spans="1:7" ht="24" x14ac:dyDescent="0.2">
      <c r="A1" s="104" t="s">
        <v>14</v>
      </c>
      <c r="B1" s="104"/>
      <c r="C1" s="104"/>
      <c r="D1" s="104"/>
      <c r="E1" s="104"/>
      <c r="F1" s="104"/>
      <c r="G1" s="104"/>
    </row>
    <row r="4" spans="1:7" x14ac:dyDescent="0.2">
      <c r="B4" s="1" t="s">
        <v>15</v>
      </c>
      <c r="F4" s="4">
        <v>5000</v>
      </c>
    </row>
    <row r="5" spans="1:7" x14ac:dyDescent="0.2">
      <c r="B5" s="1" t="s">
        <v>1</v>
      </c>
    </row>
    <row r="6" spans="1:7" x14ac:dyDescent="0.2">
      <c r="B6" s="2" t="s">
        <v>0</v>
      </c>
      <c r="C6" s="4">
        <v>750</v>
      </c>
    </row>
    <row r="7" spans="1:7" x14ac:dyDescent="0.2">
      <c r="B7" s="105" t="s">
        <v>2</v>
      </c>
      <c r="C7" s="105"/>
      <c r="D7" s="105"/>
      <c r="E7" s="105"/>
      <c r="F7" s="105"/>
    </row>
    <row r="8" spans="1:7" x14ac:dyDescent="0.2">
      <c r="B8" s="105"/>
      <c r="C8" s="105"/>
      <c r="D8" s="105"/>
      <c r="E8" s="105"/>
      <c r="F8" s="105"/>
    </row>
    <row r="9" spans="1:7" x14ac:dyDescent="0.2">
      <c r="B9" s="16"/>
      <c r="C9" s="16"/>
      <c r="D9" s="16"/>
      <c r="E9" s="16"/>
      <c r="F9" s="16"/>
    </row>
    <row r="11" spans="1:7" x14ac:dyDescent="0.2">
      <c r="B11" s="106" t="s">
        <v>7</v>
      </c>
      <c r="C11" s="106"/>
      <c r="D11" s="106"/>
      <c r="E11" s="106"/>
      <c r="F11" s="106"/>
    </row>
    <row r="13" spans="1:7" x14ac:dyDescent="0.2">
      <c r="B13" s="9" t="s">
        <v>8</v>
      </c>
      <c r="C13" s="11"/>
    </row>
    <row r="14" spans="1:7" ht="6" customHeight="1" x14ac:dyDescent="0.2"/>
    <row r="15" spans="1:7" x14ac:dyDescent="0.2">
      <c r="B15" s="12" t="s">
        <v>9</v>
      </c>
      <c r="C15" s="13"/>
    </row>
    <row r="16" spans="1:7" x14ac:dyDescent="0.2">
      <c r="B16" s="14" t="s">
        <v>10</v>
      </c>
      <c r="C16" s="15"/>
    </row>
    <row r="17" spans="2:6" ht="6" customHeight="1" x14ac:dyDescent="0.2"/>
    <row r="18" spans="2:6" x14ac:dyDescent="0.2">
      <c r="B18" s="12" t="s">
        <v>11</v>
      </c>
      <c r="C18" s="13"/>
    </row>
    <row r="19" spans="2:6" x14ac:dyDescent="0.2">
      <c r="B19" s="14" t="s">
        <v>12</v>
      </c>
      <c r="C19" s="15"/>
    </row>
    <row r="20" spans="2:6" ht="6" customHeight="1" x14ac:dyDescent="0.2"/>
    <row r="21" spans="2:6" x14ac:dyDescent="0.2">
      <c r="B21" s="9" t="s">
        <v>13</v>
      </c>
      <c r="C21" s="10"/>
    </row>
    <row r="22" spans="2:6" x14ac:dyDescent="0.2">
      <c r="B22" s="3"/>
      <c r="C22" s="5"/>
    </row>
    <row r="24" spans="2:6" x14ac:dyDescent="0.2">
      <c r="B24" s="106" t="s">
        <v>3</v>
      </c>
      <c r="C24" s="106"/>
      <c r="D24" s="106"/>
      <c r="E24" s="106"/>
      <c r="F24" s="106"/>
    </row>
    <row r="26" spans="2:6" x14ac:dyDescent="0.2">
      <c r="B26" s="107" t="s">
        <v>18</v>
      </c>
      <c r="C26" s="108"/>
      <c r="D26" s="3"/>
      <c r="E26" s="107" t="s">
        <v>19</v>
      </c>
      <c r="F26" s="108"/>
    </row>
    <row r="27" spans="2:6" x14ac:dyDescent="0.2">
      <c r="B27" s="6" t="s">
        <v>4</v>
      </c>
      <c r="C27" s="7"/>
      <c r="E27" s="6" t="s">
        <v>6</v>
      </c>
      <c r="F27" s="7"/>
    </row>
    <row r="28" spans="2:6" x14ac:dyDescent="0.2">
      <c r="B28" s="6" t="s">
        <v>5</v>
      </c>
      <c r="C28" s="7"/>
      <c r="E28" s="6"/>
      <c r="F28" s="8"/>
    </row>
    <row r="29" spans="2:6" x14ac:dyDescent="0.2">
      <c r="B29" s="9" t="s">
        <v>16</v>
      </c>
      <c r="C29" s="10"/>
      <c r="D29" s="3"/>
      <c r="E29" s="9" t="s">
        <v>17</v>
      </c>
      <c r="F29" s="10"/>
    </row>
  </sheetData>
  <mergeCells count="6">
    <mergeCell ref="A1:G1"/>
    <mergeCell ref="B7:F8"/>
    <mergeCell ref="B11:F11"/>
    <mergeCell ref="B24:F24"/>
    <mergeCell ref="B26:C26"/>
    <mergeCell ref="E26:F26"/>
  </mergeCells>
  <printOptions horizontalCentered="1"/>
  <pageMargins left="0.70000000000000007" right="0.70000000000000007" top="0.75000000000000011" bottom="0.75000000000000011" header="0.30000000000000004" footer="0.30000000000000004"/>
  <pageSetup paperSize="9" scale="92" orientation="portrait" horizontalDpi="0" verticalDpi="0" copies="15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9"/>
  <sheetViews>
    <sheetView zoomScale="102" workbookViewId="0">
      <selection sqref="A1:G1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4" width="10.83203125" style="1"/>
    <col min="5" max="5" width="24.6640625" style="1" bestFit="1" customWidth="1"/>
    <col min="6" max="6" width="10.83203125" style="1"/>
    <col min="7" max="7" width="3.6640625" style="1" customWidth="1"/>
    <col min="8" max="16384" width="10.83203125" style="1"/>
  </cols>
  <sheetData>
    <row r="1" spans="1:7" ht="24" x14ac:dyDescent="0.2">
      <c r="A1" s="104" t="s">
        <v>14</v>
      </c>
      <c r="B1" s="104"/>
      <c r="C1" s="104"/>
      <c r="D1" s="104"/>
      <c r="E1" s="104"/>
      <c r="F1" s="104"/>
      <c r="G1" s="104"/>
    </row>
    <row r="4" spans="1:7" x14ac:dyDescent="0.2">
      <c r="B4" s="1" t="s">
        <v>15</v>
      </c>
      <c r="F4" s="4">
        <v>5000</v>
      </c>
    </row>
    <row r="5" spans="1:7" x14ac:dyDescent="0.2">
      <c r="B5" s="1" t="s">
        <v>1</v>
      </c>
    </row>
    <row r="6" spans="1:7" x14ac:dyDescent="0.2">
      <c r="B6" s="2" t="s">
        <v>0</v>
      </c>
      <c r="C6" s="4">
        <v>750</v>
      </c>
    </row>
    <row r="7" spans="1:7" x14ac:dyDescent="0.2">
      <c r="B7" s="105" t="s">
        <v>2</v>
      </c>
      <c r="C7" s="105"/>
      <c r="D7" s="105"/>
      <c r="E7" s="105"/>
      <c r="F7" s="105"/>
    </row>
    <row r="8" spans="1:7" x14ac:dyDescent="0.2">
      <c r="B8" s="105"/>
      <c r="C8" s="105"/>
      <c r="D8" s="105"/>
      <c r="E8" s="105"/>
      <c r="F8" s="105"/>
    </row>
    <row r="9" spans="1:7" x14ac:dyDescent="0.2">
      <c r="B9" s="16"/>
      <c r="C9" s="16"/>
      <c r="D9" s="16"/>
      <c r="E9" s="16"/>
      <c r="F9" s="16"/>
    </row>
    <row r="11" spans="1:7" x14ac:dyDescent="0.2">
      <c r="B11" s="106" t="s">
        <v>7</v>
      </c>
      <c r="C11" s="106"/>
      <c r="D11" s="106"/>
      <c r="E11" s="106"/>
      <c r="F11" s="106"/>
    </row>
    <row r="13" spans="1:7" x14ac:dyDescent="0.2">
      <c r="B13" s="9" t="s">
        <v>8</v>
      </c>
      <c r="C13" s="11">
        <v>0</v>
      </c>
    </row>
    <row r="14" spans="1:7" ht="6" customHeight="1" x14ac:dyDescent="0.2"/>
    <row r="15" spans="1:7" x14ac:dyDescent="0.2">
      <c r="B15" s="12" t="s">
        <v>9</v>
      </c>
      <c r="C15" s="13"/>
    </row>
    <row r="16" spans="1:7" x14ac:dyDescent="0.2">
      <c r="B16" s="14" t="s">
        <v>10</v>
      </c>
      <c r="C16" s="15">
        <f>F4</f>
        <v>5000</v>
      </c>
    </row>
    <row r="17" spans="2:6" ht="6" customHeight="1" x14ac:dyDescent="0.2"/>
    <row r="18" spans="2:6" x14ac:dyDescent="0.2">
      <c r="B18" s="12" t="s">
        <v>11</v>
      </c>
      <c r="C18" s="13"/>
    </row>
    <row r="19" spans="2:6" x14ac:dyDescent="0.2">
      <c r="B19" s="14" t="s">
        <v>12</v>
      </c>
      <c r="C19" s="15">
        <f>C6</f>
        <v>750</v>
      </c>
    </row>
    <row r="20" spans="2:6" ht="6" customHeight="1" x14ac:dyDescent="0.2"/>
    <row r="21" spans="2:6" x14ac:dyDescent="0.2">
      <c r="B21" s="9" t="s">
        <v>13</v>
      </c>
      <c r="C21" s="10">
        <f>C13+C16-C19</f>
        <v>4250</v>
      </c>
    </row>
    <row r="22" spans="2:6" x14ac:dyDescent="0.2">
      <c r="B22" s="3"/>
      <c r="C22" s="5"/>
    </row>
    <row r="24" spans="2:6" x14ac:dyDescent="0.2">
      <c r="B24" s="106" t="s">
        <v>3</v>
      </c>
      <c r="C24" s="106"/>
      <c r="D24" s="106"/>
      <c r="E24" s="106"/>
      <c r="F24" s="106"/>
    </row>
    <row r="26" spans="2:6" x14ac:dyDescent="0.2">
      <c r="B26" s="107" t="s">
        <v>18</v>
      </c>
      <c r="C26" s="108"/>
      <c r="D26" s="3"/>
      <c r="E26" s="107" t="s">
        <v>19</v>
      </c>
      <c r="F26" s="108"/>
    </row>
    <row r="27" spans="2:6" x14ac:dyDescent="0.2">
      <c r="B27" s="6" t="s">
        <v>4</v>
      </c>
      <c r="C27" s="7">
        <f>C6</f>
        <v>750</v>
      </c>
      <c r="E27" s="6" t="s">
        <v>6</v>
      </c>
      <c r="F27" s="7">
        <f>F4</f>
        <v>5000</v>
      </c>
    </row>
    <row r="28" spans="2:6" x14ac:dyDescent="0.2">
      <c r="B28" s="6" t="s">
        <v>5</v>
      </c>
      <c r="C28" s="7">
        <f>C21</f>
        <v>4250</v>
      </c>
      <c r="E28" s="6"/>
      <c r="F28" s="8"/>
    </row>
    <row r="29" spans="2:6" x14ac:dyDescent="0.2">
      <c r="B29" s="9" t="s">
        <v>16</v>
      </c>
      <c r="C29" s="10">
        <f>SUM(C27:C28)</f>
        <v>5000</v>
      </c>
      <c r="D29" s="3"/>
      <c r="E29" s="9" t="s">
        <v>17</v>
      </c>
      <c r="F29" s="10">
        <f>F27</f>
        <v>5000</v>
      </c>
    </row>
  </sheetData>
  <mergeCells count="6">
    <mergeCell ref="B24:F24"/>
    <mergeCell ref="A1:G1"/>
    <mergeCell ref="B7:F8"/>
    <mergeCell ref="B11:F11"/>
    <mergeCell ref="B26:C26"/>
    <mergeCell ref="E26:F26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92" orientation="portrait" horizontalDpi="0" verticalDpi="0" copies="15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3B68-9A78-A145-BEBE-ECEB7CE42B1E}">
  <sheetPr>
    <pageSetUpPr fitToPage="1"/>
  </sheetPr>
  <dimension ref="A1:G44"/>
  <sheetViews>
    <sheetView zoomScale="102" workbookViewId="0">
      <selection activeCell="E24" sqref="E24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3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20</v>
      </c>
      <c r="B1" s="104"/>
      <c r="C1" s="104"/>
      <c r="D1" s="104"/>
      <c r="E1" s="104"/>
      <c r="F1" s="104"/>
      <c r="G1" s="104"/>
    </row>
    <row r="4" spans="1:7" x14ac:dyDescent="0.2">
      <c r="B4" s="1" t="s">
        <v>22</v>
      </c>
      <c r="C4" s="5">
        <v>2500</v>
      </c>
      <c r="F4" s="4"/>
    </row>
    <row r="5" spans="1:7" x14ac:dyDescent="0.2">
      <c r="B5" s="1" t="s">
        <v>77</v>
      </c>
      <c r="C5" s="18">
        <v>500</v>
      </c>
    </row>
    <row r="6" spans="1:7" x14ac:dyDescent="0.2">
      <c r="B6" s="17" t="s">
        <v>78</v>
      </c>
      <c r="C6" s="19">
        <v>10</v>
      </c>
      <c r="D6" s="1" t="s">
        <v>79</v>
      </c>
    </row>
    <row r="7" spans="1:7" x14ac:dyDescent="0.2">
      <c r="B7" s="17" t="s">
        <v>44</v>
      </c>
      <c r="C7" s="19"/>
    </row>
    <row r="8" spans="1:7" x14ac:dyDescent="0.2">
      <c r="B8" s="2" t="s">
        <v>23</v>
      </c>
      <c r="C8" s="21">
        <f>Lancement!C27/'Janvier blank'!C5</f>
        <v>1.5</v>
      </c>
      <c r="D8" s="1" t="s">
        <v>25</v>
      </c>
    </row>
    <row r="9" spans="1:7" ht="20" x14ac:dyDescent="0.2">
      <c r="B9" s="20" t="s">
        <v>24</v>
      </c>
      <c r="C9" s="21">
        <v>0.5</v>
      </c>
      <c r="D9" s="16"/>
      <c r="E9" s="16"/>
      <c r="F9" s="16"/>
    </row>
    <row r="10" spans="1:7" x14ac:dyDescent="0.2">
      <c r="B10" s="20"/>
      <c r="C10" s="21"/>
      <c r="D10" s="16"/>
      <c r="E10" s="16"/>
      <c r="F10" s="16"/>
    </row>
    <row r="11" spans="1:7" x14ac:dyDescent="0.2">
      <c r="B11" s="20"/>
      <c r="C11" s="21"/>
      <c r="D11" s="16"/>
      <c r="E11" s="16"/>
      <c r="F11" s="16"/>
    </row>
    <row r="12" spans="1:7" x14ac:dyDescent="0.2">
      <c r="B12" s="106" t="s">
        <v>7</v>
      </c>
      <c r="C12" s="106"/>
      <c r="D12" s="16"/>
      <c r="E12" s="16"/>
      <c r="F12" s="16"/>
    </row>
    <row r="13" spans="1:7" ht="6" customHeight="1" x14ac:dyDescent="0.2"/>
    <row r="14" spans="1:7" x14ac:dyDescent="0.2">
      <c r="B14" s="9" t="s">
        <v>8</v>
      </c>
      <c r="C14" s="10"/>
    </row>
    <row r="15" spans="1:7" ht="6" customHeight="1" x14ac:dyDescent="0.2"/>
    <row r="16" spans="1:7" x14ac:dyDescent="0.2">
      <c r="B16" s="12" t="s">
        <v>9</v>
      </c>
      <c r="C16" s="13"/>
    </row>
    <row r="17" spans="2:6" x14ac:dyDescent="0.2">
      <c r="B17" s="14" t="s">
        <v>36</v>
      </c>
      <c r="C17" s="15"/>
    </row>
    <row r="18" spans="2:6" ht="6" customHeight="1" x14ac:dyDescent="0.2"/>
    <row r="19" spans="2:6" x14ac:dyDescent="0.2">
      <c r="B19" s="12" t="s">
        <v>11</v>
      </c>
      <c r="C19" s="13"/>
    </row>
    <row r="20" spans="2:6" x14ac:dyDescent="0.2">
      <c r="B20" s="6" t="s">
        <v>30</v>
      </c>
      <c r="C20" s="7"/>
    </row>
    <row r="21" spans="2:6" x14ac:dyDescent="0.2">
      <c r="B21" s="14" t="s">
        <v>37</v>
      </c>
      <c r="C21" s="15"/>
    </row>
    <row r="22" spans="2:6" ht="6" customHeight="1" x14ac:dyDescent="0.2"/>
    <row r="23" spans="2:6" x14ac:dyDescent="0.2">
      <c r="B23" s="9" t="s">
        <v>13</v>
      </c>
      <c r="C23" s="10"/>
    </row>
    <row r="24" spans="2:6" x14ac:dyDescent="0.2">
      <c r="B24" s="3"/>
      <c r="C24" s="5"/>
    </row>
    <row r="25" spans="2:6" x14ac:dyDescent="0.2">
      <c r="B25" s="3"/>
      <c r="C25" s="5"/>
    </row>
    <row r="26" spans="2:6" x14ac:dyDescent="0.2">
      <c r="B26" s="106" t="s">
        <v>21</v>
      </c>
      <c r="C26" s="106"/>
      <c r="E26" s="106" t="s">
        <v>31</v>
      </c>
      <c r="F26" s="106"/>
    </row>
    <row r="27" spans="2:6" ht="6" customHeight="1" x14ac:dyDescent="0.2"/>
    <row r="28" spans="2:6" x14ac:dyDescent="0.2">
      <c r="B28" s="22" t="s">
        <v>26</v>
      </c>
      <c r="C28" s="26"/>
      <c r="E28" s="22" t="s">
        <v>27</v>
      </c>
      <c r="F28" s="23"/>
    </row>
    <row r="29" spans="2:6" x14ac:dyDescent="0.2">
      <c r="B29" s="27" t="s">
        <v>32</v>
      </c>
      <c r="C29" s="7"/>
      <c r="E29" s="14" t="s">
        <v>28</v>
      </c>
      <c r="F29" s="24"/>
    </row>
    <row r="30" spans="2:6" x14ac:dyDescent="0.2">
      <c r="B30" s="27" t="s">
        <v>33</v>
      </c>
      <c r="C30" s="7"/>
      <c r="E30" s="9" t="s">
        <v>29</v>
      </c>
      <c r="F30" s="25"/>
    </row>
    <row r="31" spans="2:6" x14ac:dyDescent="0.2">
      <c r="B31" s="9" t="s">
        <v>34</v>
      </c>
      <c r="C31" s="10"/>
    </row>
    <row r="33" spans="2:6" x14ac:dyDescent="0.2">
      <c r="B33" s="3"/>
      <c r="C33" s="5"/>
    </row>
    <row r="34" spans="2:6" x14ac:dyDescent="0.2">
      <c r="B34" s="106" t="s">
        <v>59</v>
      </c>
      <c r="C34" s="106"/>
      <c r="D34" s="106"/>
      <c r="E34" s="106"/>
      <c r="F34" s="106"/>
    </row>
    <row r="35" spans="2:6" ht="6" customHeight="1" x14ac:dyDescent="0.2"/>
    <row r="36" spans="2:6" x14ac:dyDescent="0.2">
      <c r="B36" s="107" t="s">
        <v>18</v>
      </c>
      <c r="C36" s="108"/>
      <c r="D36" s="3"/>
      <c r="E36" s="107" t="s">
        <v>19</v>
      </c>
      <c r="F36" s="108"/>
    </row>
    <row r="37" spans="2:6" x14ac:dyDescent="0.2">
      <c r="B37" s="6" t="s">
        <v>4</v>
      </c>
      <c r="C37" s="7"/>
      <c r="E37" s="6" t="s">
        <v>6</v>
      </c>
      <c r="F37" s="7"/>
    </row>
    <row r="38" spans="2:6" x14ac:dyDescent="0.2">
      <c r="B38" s="6" t="s">
        <v>5</v>
      </c>
      <c r="C38" s="7"/>
      <c r="E38" s="6" t="s">
        <v>35</v>
      </c>
      <c r="F38" s="7"/>
    </row>
    <row r="39" spans="2:6" x14ac:dyDescent="0.2">
      <c r="B39" s="9" t="s">
        <v>16</v>
      </c>
      <c r="C39" s="10"/>
      <c r="D39" s="3"/>
      <c r="E39" s="9" t="s">
        <v>17</v>
      </c>
      <c r="F39" s="10"/>
    </row>
    <row r="40" spans="2:6" x14ac:dyDescent="0.2">
      <c r="B40" s="3"/>
      <c r="C40" s="5"/>
      <c r="D40" s="3"/>
      <c r="E40" s="3"/>
      <c r="F40" s="5"/>
    </row>
    <row r="42" spans="2:6" x14ac:dyDescent="0.2">
      <c r="B42" s="109" t="s">
        <v>40</v>
      </c>
      <c r="C42" s="109"/>
      <c r="D42" s="109"/>
      <c r="E42" s="109"/>
      <c r="F42" s="109"/>
    </row>
    <row r="43" spans="2:6" ht="6" customHeight="1" x14ac:dyDescent="0.2"/>
    <row r="44" spans="2:6" x14ac:dyDescent="0.2">
      <c r="B44" s="28" t="s">
        <v>39</v>
      </c>
      <c r="C44" s="18"/>
    </row>
  </sheetData>
  <mergeCells count="8">
    <mergeCell ref="B42:F42"/>
    <mergeCell ref="A1:G1"/>
    <mergeCell ref="B12:C12"/>
    <mergeCell ref="B26:C26"/>
    <mergeCell ref="E26:F26"/>
    <mergeCell ref="B34:F34"/>
    <mergeCell ref="B36:C36"/>
    <mergeCell ref="E36:F36"/>
  </mergeCells>
  <printOptions horizontalCentered="1"/>
  <pageMargins left="0.70000000000000007" right="0.70000000000000007" top="0.75000000000000011" bottom="0.75000000000000011" header="0.30000000000000004" footer="0.30000000000000004"/>
  <pageSetup paperSize="9" scale="88" orientation="portrait" horizontalDpi="0" verticalDpi="0"/>
  <rowBreaks count="1" manualBreakCount="1">
    <brk id="44" max="16383" man="1"/>
  </rowBreaks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4"/>
  <sheetViews>
    <sheetView zoomScale="102" workbookViewId="0">
      <selection activeCell="D7" sqref="D7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3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20</v>
      </c>
      <c r="B1" s="104"/>
      <c r="C1" s="104"/>
      <c r="D1" s="104"/>
      <c r="E1" s="104"/>
      <c r="F1" s="104"/>
      <c r="G1" s="104"/>
    </row>
    <row r="4" spans="1:7" x14ac:dyDescent="0.2">
      <c r="B4" s="1" t="s">
        <v>22</v>
      </c>
      <c r="C4" s="5">
        <v>2500</v>
      </c>
      <c r="F4" s="4"/>
    </row>
    <row r="5" spans="1:7" x14ac:dyDescent="0.2">
      <c r="B5" s="1" t="s">
        <v>77</v>
      </c>
      <c r="C5" s="18">
        <v>500</v>
      </c>
    </row>
    <row r="6" spans="1:7" x14ac:dyDescent="0.2">
      <c r="B6" s="17" t="s">
        <v>78</v>
      </c>
      <c r="C6" s="19">
        <v>10</v>
      </c>
      <c r="D6" s="1" t="s">
        <v>79</v>
      </c>
    </row>
    <row r="7" spans="1:7" x14ac:dyDescent="0.2">
      <c r="B7" s="17" t="s">
        <v>44</v>
      </c>
      <c r="C7" s="19"/>
    </row>
    <row r="8" spans="1:7" x14ac:dyDescent="0.2">
      <c r="B8" s="2" t="s">
        <v>23</v>
      </c>
      <c r="C8" s="21">
        <f>Lancement!C27/Janvier!C5</f>
        <v>1.5</v>
      </c>
      <c r="D8" s="1" t="s">
        <v>25</v>
      </c>
    </row>
    <row r="9" spans="1:7" ht="20" x14ac:dyDescent="0.2">
      <c r="B9" s="20" t="s">
        <v>24</v>
      </c>
      <c r="C9" s="21">
        <v>0.5</v>
      </c>
      <c r="D9" s="16"/>
      <c r="E9" s="16"/>
      <c r="F9" s="16"/>
    </row>
    <row r="10" spans="1:7" x14ac:dyDescent="0.2">
      <c r="B10" s="20"/>
      <c r="C10" s="21"/>
      <c r="D10" s="16"/>
      <c r="E10" s="16"/>
      <c r="F10" s="16"/>
    </row>
    <row r="11" spans="1:7" x14ac:dyDescent="0.2">
      <c r="B11" s="20"/>
      <c r="C11" s="21"/>
      <c r="D11" s="16"/>
      <c r="E11" s="16"/>
      <c r="F11" s="16"/>
    </row>
    <row r="12" spans="1:7" x14ac:dyDescent="0.2">
      <c r="B12" s="106" t="s">
        <v>7</v>
      </c>
      <c r="C12" s="106"/>
      <c r="D12" s="16"/>
      <c r="E12" s="16"/>
      <c r="F12" s="16"/>
    </row>
    <row r="13" spans="1:7" ht="6" customHeight="1" x14ac:dyDescent="0.2"/>
    <row r="14" spans="1:7" x14ac:dyDescent="0.2">
      <c r="B14" s="9" t="s">
        <v>8</v>
      </c>
      <c r="C14" s="10">
        <f>Lancement!C28</f>
        <v>4250</v>
      </c>
    </row>
    <row r="15" spans="1:7" ht="6" customHeight="1" x14ac:dyDescent="0.2"/>
    <row r="16" spans="1:7" x14ac:dyDescent="0.2">
      <c r="B16" s="12" t="s">
        <v>9</v>
      </c>
      <c r="C16" s="13"/>
    </row>
    <row r="17" spans="2:6" x14ac:dyDescent="0.2">
      <c r="B17" s="14" t="s">
        <v>36</v>
      </c>
      <c r="C17" s="15">
        <f>C28</f>
        <v>5000</v>
      </c>
    </row>
    <row r="18" spans="2:6" ht="6" customHeight="1" x14ac:dyDescent="0.2"/>
    <row r="19" spans="2:6" x14ac:dyDescent="0.2">
      <c r="B19" s="12" t="s">
        <v>11</v>
      </c>
      <c r="C19" s="13"/>
    </row>
    <row r="20" spans="2:6" x14ac:dyDescent="0.2">
      <c r="B20" s="6" t="s">
        <v>30</v>
      </c>
      <c r="C20" s="7">
        <f>C9*C5</f>
        <v>250</v>
      </c>
    </row>
    <row r="21" spans="2:6" x14ac:dyDescent="0.2">
      <c r="B21" s="14" t="s">
        <v>37</v>
      </c>
      <c r="C21" s="15">
        <f>C4</f>
        <v>2500</v>
      </c>
    </row>
    <row r="22" spans="2:6" ht="6" customHeight="1" x14ac:dyDescent="0.2"/>
    <row r="23" spans="2:6" x14ac:dyDescent="0.2">
      <c r="B23" s="9" t="s">
        <v>13</v>
      </c>
      <c r="C23" s="10">
        <f>C14+SUM(C16:C17)-SUM(C19:C21)</f>
        <v>6500</v>
      </c>
    </row>
    <row r="24" spans="2:6" x14ac:dyDescent="0.2">
      <c r="B24" s="3"/>
      <c r="C24" s="5"/>
    </row>
    <row r="25" spans="2:6" x14ac:dyDescent="0.2">
      <c r="B25" s="3"/>
      <c r="C25" s="5"/>
    </row>
    <row r="26" spans="2:6" x14ac:dyDescent="0.2">
      <c r="B26" s="106" t="s">
        <v>21</v>
      </c>
      <c r="C26" s="106"/>
      <c r="E26" s="106" t="s">
        <v>31</v>
      </c>
      <c r="F26" s="106"/>
    </row>
    <row r="27" spans="2:6" ht="6" customHeight="1" x14ac:dyDescent="0.2"/>
    <row r="28" spans="2:6" x14ac:dyDescent="0.2">
      <c r="B28" s="22" t="s">
        <v>26</v>
      </c>
      <c r="C28" s="26">
        <f>C5*C6</f>
        <v>5000</v>
      </c>
      <c r="E28" s="22" t="s">
        <v>27</v>
      </c>
      <c r="F28" s="23">
        <f>C8</f>
        <v>1.5</v>
      </c>
    </row>
    <row r="29" spans="2:6" x14ac:dyDescent="0.2">
      <c r="B29" s="27" t="s">
        <v>32</v>
      </c>
      <c r="C29" s="7">
        <f>-F30*C5</f>
        <v>-1000</v>
      </c>
      <c r="E29" s="14" t="s">
        <v>28</v>
      </c>
      <c r="F29" s="24">
        <f>C9</f>
        <v>0.5</v>
      </c>
    </row>
    <row r="30" spans="2:6" x14ac:dyDescent="0.2">
      <c r="B30" s="27" t="s">
        <v>33</v>
      </c>
      <c r="C30" s="7">
        <f>-C4</f>
        <v>-2500</v>
      </c>
      <c r="E30" s="9" t="s">
        <v>29</v>
      </c>
      <c r="F30" s="25">
        <f>SUM(F28:F29)</f>
        <v>2</v>
      </c>
    </row>
    <row r="31" spans="2:6" x14ac:dyDescent="0.2">
      <c r="B31" s="9" t="s">
        <v>34</v>
      </c>
      <c r="C31" s="10">
        <f>SUM(C28:C30)</f>
        <v>1500</v>
      </c>
    </row>
    <row r="33" spans="2:6" x14ac:dyDescent="0.2">
      <c r="B33" s="3"/>
      <c r="C33" s="5"/>
    </row>
    <row r="34" spans="2:6" x14ac:dyDescent="0.2">
      <c r="B34" s="106" t="s">
        <v>59</v>
      </c>
      <c r="C34" s="106"/>
      <c r="D34" s="106"/>
      <c r="E34" s="106"/>
      <c r="F34" s="106"/>
    </row>
    <row r="35" spans="2:6" ht="6" customHeight="1" x14ac:dyDescent="0.2"/>
    <row r="36" spans="2:6" x14ac:dyDescent="0.2">
      <c r="B36" s="107" t="s">
        <v>18</v>
      </c>
      <c r="C36" s="108"/>
      <c r="D36" s="3"/>
      <c r="E36" s="107" t="s">
        <v>19</v>
      </c>
      <c r="F36" s="108"/>
    </row>
    <row r="37" spans="2:6" x14ac:dyDescent="0.2">
      <c r="B37" s="6" t="s">
        <v>4</v>
      </c>
      <c r="C37" s="7">
        <f>Lancement!C27-Janvier!F28*Janvier!C5</f>
        <v>0</v>
      </c>
      <c r="E37" s="6" t="s">
        <v>6</v>
      </c>
      <c r="F37" s="7">
        <f>Lancement!F27</f>
        <v>5000</v>
      </c>
    </row>
    <row r="38" spans="2:6" x14ac:dyDescent="0.2">
      <c r="B38" s="6" t="s">
        <v>5</v>
      </c>
      <c r="C38" s="7">
        <f>C23</f>
        <v>6500</v>
      </c>
      <c r="E38" s="6" t="s">
        <v>35</v>
      </c>
      <c r="F38" s="7">
        <f>C31</f>
        <v>1500</v>
      </c>
    </row>
    <row r="39" spans="2:6" x14ac:dyDescent="0.2">
      <c r="B39" s="9" t="s">
        <v>16</v>
      </c>
      <c r="C39" s="10">
        <f>SUM(C37:C38)</f>
        <v>6500</v>
      </c>
      <c r="D39" s="3"/>
      <c r="E39" s="9" t="s">
        <v>17</v>
      </c>
      <c r="F39" s="10">
        <f>SUM(F37:F38)</f>
        <v>6500</v>
      </c>
    </row>
    <row r="40" spans="2:6" x14ac:dyDescent="0.2">
      <c r="B40" s="3"/>
      <c r="C40" s="5"/>
      <c r="D40" s="3"/>
      <c r="E40" s="3"/>
      <c r="F40" s="5"/>
    </row>
    <row r="42" spans="2:6" x14ac:dyDescent="0.2">
      <c r="B42" s="109" t="s">
        <v>40</v>
      </c>
      <c r="C42" s="109"/>
      <c r="D42" s="109"/>
      <c r="E42" s="109"/>
      <c r="F42" s="109"/>
    </row>
    <row r="43" spans="2:6" ht="6" customHeight="1" x14ac:dyDescent="0.2"/>
    <row r="44" spans="2:6" x14ac:dyDescent="0.2">
      <c r="B44" s="28" t="s">
        <v>39</v>
      </c>
      <c r="C44" s="18">
        <f>-C30/(C6-F30)</f>
        <v>312.5</v>
      </c>
    </row>
  </sheetData>
  <mergeCells count="8">
    <mergeCell ref="B42:F42"/>
    <mergeCell ref="A1:G1"/>
    <mergeCell ref="B34:F34"/>
    <mergeCell ref="B36:C36"/>
    <mergeCell ref="E36:F36"/>
    <mergeCell ref="E26:F26"/>
    <mergeCell ref="B26:C26"/>
    <mergeCell ref="B12:C12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88" orientation="portrait" horizontalDpi="0" verticalDpi="0"/>
  <rowBreaks count="1" manualBreakCount="1">
    <brk id="44" max="16383" man="1"/>
  </rowBreaks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5"/>
  <sheetViews>
    <sheetView zoomScale="102" workbookViewId="0">
      <selection activeCell="B4" sqref="B4:F11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7.83203125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38</v>
      </c>
      <c r="B1" s="104"/>
      <c r="C1" s="104"/>
      <c r="D1" s="104"/>
      <c r="E1" s="104"/>
      <c r="F1" s="104"/>
      <c r="G1" s="104"/>
    </row>
    <row r="4" spans="1:7" x14ac:dyDescent="0.2">
      <c r="B4" s="1" t="s">
        <v>22</v>
      </c>
      <c r="C4" s="5">
        <v>2500</v>
      </c>
      <c r="F4" s="4"/>
    </row>
    <row r="5" spans="1:7" x14ac:dyDescent="0.2">
      <c r="B5" s="1" t="s">
        <v>77</v>
      </c>
      <c r="C5" s="18">
        <v>1000</v>
      </c>
      <c r="D5" s="1" t="s">
        <v>80</v>
      </c>
    </row>
    <row r="6" spans="1:7" x14ac:dyDescent="0.2">
      <c r="B6" s="1" t="s">
        <v>149</v>
      </c>
      <c r="C6" s="18">
        <v>2000</v>
      </c>
      <c r="D6" s="1" t="s">
        <v>41</v>
      </c>
    </row>
    <row r="7" spans="1:7" x14ac:dyDescent="0.2">
      <c r="B7" s="17" t="s">
        <v>78</v>
      </c>
      <c r="C7" s="19">
        <v>10</v>
      </c>
      <c r="D7" s="1" t="s">
        <v>42</v>
      </c>
    </row>
    <row r="8" spans="1:7" x14ac:dyDescent="0.2">
      <c r="B8" s="17" t="s">
        <v>44</v>
      </c>
      <c r="C8" s="19"/>
    </row>
    <row r="9" spans="1:7" ht="20" x14ac:dyDescent="0.2">
      <c r="B9" s="20" t="s">
        <v>49</v>
      </c>
      <c r="C9" s="5">
        <v>5000</v>
      </c>
      <c r="D9" s="29" t="s">
        <v>50</v>
      </c>
      <c r="E9" s="16"/>
      <c r="F9" s="16"/>
    </row>
    <row r="10" spans="1:7" ht="20" x14ac:dyDescent="0.2">
      <c r="B10" s="20" t="s">
        <v>24</v>
      </c>
      <c r="C10" s="21">
        <v>0.5</v>
      </c>
      <c r="D10" s="16"/>
      <c r="E10" s="16"/>
      <c r="F10" s="16"/>
    </row>
    <row r="11" spans="1:7" ht="20" x14ac:dyDescent="0.2">
      <c r="B11" s="20" t="s">
        <v>43</v>
      </c>
      <c r="C11" s="5">
        <v>1000</v>
      </c>
      <c r="D11" s="16"/>
      <c r="E11" s="16"/>
      <c r="F11" s="16"/>
    </row>
    <row r="12" spans="1:7" x14ac:dyDescent="0.2">
      <c r="B12" s="20"/>
      <c r="C12" s="5"/>
      <c r="D12" s="16"/>
      <c r="E12" s="16"/>
      <c r="F12" s="16"/>
    </row>
    <row r="13" spans="1:7" x14ac:dyDescent="0.2">
      <c r="B13" s="20"/>
      <c r="C13" s="21"/>
      <c r="D13" s="16"/>
      <c r="E13" s="16"/>
      <c r="F13" s="16"/>
    </row>
    <row r="14" spans="1:7" x14ac:dyDescent="0.2">
      <c r="B14" s="106" t="s">
        <v>7</v>
      </c>
      <c r="C14" s="106"/>
      <c r="D14" s="16"/>
      <c r="E14" s="16"/>
      <c r="F14" s="16"/>
    </row>
    <row r="15" spans="1:7" ht="6" customHeight="1" x14ac:dyDescent="0.2">
      <c r="D15" s="16"/>
      <c r="E15" s="16"/>
      <c r="F15" s="16"/>
    </row>
    <row r="16" spans="1:7" x14ac:dyDescent="0.2">
      <c r="B16" s="9" t="s">
        <v>8</v>
      </c>
      <c r="C16" s="10"/>
      <c r="D16" s="16"/>
      <c r="E16" s="16"/>
      <c r="F16" s="16"/>
    </row>
    <row r="17" spans="2:6" ht="6" customHeight="1" x14ac:dyDescent="0.2"/>
    <row r="18" spans="2:6" x14ac:dyDescent="0.2">
      <c r="B18" s="12" t="s">
        <v>9</v>
      </c>
      <c r="C18" s="13"/>
    </row>
    <row r="19" spans="2:6" x14ac:dyDescent="0.2">
      <c r="B19" s="14" t="s">
        <v>36</v>
      </c>
      <c r="C19" s="15"/>
    </row>
    <row r="20" spans="2:6" ht="6" customHeight="1" x14ac:dyDescent="0.2"/>
    <row r="21" spans="2:6" x14ac:dyDescent="0.2">
      <c r="B21" s="12" t="s">
        <v>11</v>
      </c>
      <c r="C21" s="13"/>
    </row>
    <row r="22" spans="2:6" x14ac:dyDescent="0.2">
      <c r="B22" s="6" t="s">
        <v>46</v>
      </c>
      <c r="C22" s="7"/>
    </row>
    <row r="23" spans="2:6" x14ac:dyDescent="0.2">
      <c r="B23" s="6" t="s">
        <v>30</v>
      </c>
      <c r="C23" s="7"/>
    </row>
    <row r="24" spans="2:6" x14ac:dyDescent="0.2">
      <c r="B24" s="6" t="s">
        <v>47</v>
      </c>
      <c r="C24" s="7"/>
    </row>
    <row r="25" spans="2:6" x14ac:dyDescent="0.2">
      <c r="B25" s="14" t="s">
        <v>37</v>
      </c>
      <c r="C25" s="15"/>
    </row>
    <row r="26" spans="2:6" ht="6" customHeight="1" x14ac:dyDescent="0.2"/>
    <row r="27" spans="2:6" x14ac:dyDescent="0.2">
      <c r="B27" s="9" t="s">
        <v>13</v>
      </c>
      <c r="C27" s="10"/>
    </row>
    <row r="28" spans="2:6" x14ac:dyDescent="0.2">
      <c r="B28" s="3"/>
      <c r="C28" s="5"/>
    </row>
    <row r="29" spans="2:6" x14ac:dyDescent="0.2">
      <c r="B29" s="3"/>
      <c r="C29" s="5"/>
    </row>
    <row r="30" spans="2:6" x14ac:dyDescent="0.2">
      <c r="B30" s="106" t="s">
        <v>21</v>
      </c>
      <c r="C30" s="106"/>
      <c r="E30" s="106" t="s">
        <v>31</v>
      </c>
      <c r="F30" s="106"/>
    </row>
    <row r="31" spans="2:6" ht="6" customHeight="1" x14ac:dyDescent="0.2"/>
    <row r="32" spans="2:6" x14ac:dyDescent="0.2">
      <c r="B32" s="22" t="s">
        <v>26</v>
      </c>
      <c r="C32" s="26"/>
      <c r="E32" s="22" t="s">
        <v>27</v>
      </c>
      <c r="F32" s="23"/>
    </row>
    <row r="33" spans="2:6" x14ac:dyDescent="0.2">
      <c r="B33" s="27" t="s">
        <v>32</v>
      </c>
      <c r="C33" s="7"/>
      <c r="E33" s="14" t="s">
        <v>28</v>
      </c>
      <c r="F33" s="24"/>
    </row>
    <row r="34" spans="2:6" x14ac:dyDescent="0.2">
      <c r="B34" s="27" t="s">
        <v>48</v>
      </c>
      <c r="C34" s="7"/>
      <c r="E34" s="9" t="s">
        <v>29</v>
      </c>
      <c r="F34" s="25"/>
    </row>
    <row r="35" spans="2:6" x14ac:dyDescent="0.2">
      <c r="B35" s="27" t="s">
        <v>33</v>
      </c>
      <c r="C35" s="7"/>
    </row>
    <row r="36" spans="2:6" x14ac:dyDescent="0.2">
      <c r="B36" s="9" t="s">
        <v>34</v>
      </c>
      <c r="C36" s="10"/>
    </row>
    <row r="37" spans="2:6" x14ac:dyDescent="0.2">
      <c r="B37" s="3"/>
      <c r="C37" s="5"/>
    </row>
    <row r="38" spans="2:6" x14ac:dyDescent="0.2">
      <c r="B38" s="3"/>
      <c r="C38" s="5"/>
    </row>
    <row r="39" spans="2:6" x14ac:dyDescent="0.2">
      <c r="B39" s="106" t="s">
        <v>59</v>
      </c>
      <c r="C39" s="106"/>
      <c r="D39" s="106"/>
      <c r="E39" s="106"/>
      <c r="F39" s="106"/>
    </row>
    <row r="40" spans="2:6" ht="6" customHeight="1" x14ac:dyDescent="0.2"/>
    <row r="41" spans="2:6" x14ac:dyDescent="0.2">
      <c r="B41" s="107" t="s">
        <v>18</v>
      </c>
      <c r="C41" s="108"/>
      <c r="D41" s="3"/>
      <c r="E41" s="107" t="s">
        <v>19</v>
      </c>
      <c r="F41" s="108"/>
    </row>
    <row r="42" spans="2:6" x14ac:dyDescent="0.2">
      <c r="B42" s="6" t="s">
        <v>4</v>
      </c>
      <c r="C42" s="7"/>
      <c r="E42" s="6" t="s">
        <v>6</v>
      </c>
      <c r="F42" s="7"/>
    </row>
    <row r="43" spans="2:6" x14ac:dyDescent="0.2">
      <c r="B43" s="6" t="s">
        <v>45</v>
      </c>
      <c r="C43" s="7"/>
      <c r="E43" s="6" t="s">
        <v>35</v>
      </c>
      <c r="F43" s="7"/>
    </row>
    <row r="44" spans="2:6" x14ac:dyDescent="0.2">
      <c r="B44" s="6" t="s">
        <v>5</v>
      </c>
      <c r="C44" s="7"/>
      <c r="E44" s="6" t="s">
        <v>51</v>
      </c>
      <c r="F44" s="7"/>
    </row>
    <row r="45" spans="2:6" x14ac:dyDescent="0.2">
      <c r="B45" s="9" t="s">
        <v>16</v>
      </c>
      <c r="C45" s="10"/>
      <c r="D45" s="3"/>
      <c r="E45" s="9" t="s">
        <v>17</v>
      </c>
      <c r="F45" s="10"/>
    </row>
  </sheetData>
  <mergeCells count="7">
    <mergeCell ref="B41:C41"/>
    <mergeCell ref="E41:F41"/>
    <mergeCell ref="A1:G1"/>
    <mergeCell ref="B14:C14"/>
    <mergeCell ref="B30:C30"/>
    <mergeCell ref="E30:F30"/>
    <mergeCell ref="B39:F39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84" orientation="portrait" horizontalDpi="0" verticalDpi="0" copies="15"/>
  <rowBreaks count="1" manualBreakCount="1">
    <brk id="45" max="16383" man="1"/>
  </rowBreaks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5"/>
  <sheetViews>
    <sheetView zoomScale="102" workbookViewId="0">
      <selection activeCell="B6" sqref="B6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7.83203125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38</v>
      </c>
      <c r="B1" s="104"/>
      <c r="C1" s="104"/>
      <c r="D1" s="104"/>
      <c r="E1" s="104"/>
      <c r="F1" s="104"/>
      <c r="G1" s="104"/>
    </row>
    <row r="4" spans="1:7" x14ac:dyDescent="0.2">
      <c r="B4" s="1" t="s">
        <v>22</v>
      </c>
      <c r="C4" s="5">
        <v>2500</v>
      </c>
      <c r="F4" s="4"/>
    </row>
    <row r="5" spans="1:7" x14ac:dyDescent="0.2">
      <c r="B5" s="1" t="s">
        <v>77</v>
      </c>
      <c r="C5" s="18">
        <v>1000</v>
      </c>
      <c r="D5" s="1" t="s">
        <v>80</v>
      </c>
    </row>
    <row r="6" spans="1:7" x14ac:dyDescent="0.2">
      <c r="B6" s="1" t="s">
        <v>149</v>
      </c>
      <c r="C6" s="18">
        <v>2000</v>
      </c>
      <c r="D6" s="1" t="s">
        <v>41</v>
      </c>
    </row>
    <row r="7" spans="1:7" x14ac:dyDescent="0.2">
      <c r="B7" s="17" t="s">
        <v>78</v>
      </c>
      <c r="C7" s="19">
        <v>10</v>
      </c>
      <c r="D7" s="1" t="s">
        <v>42</v>
      </c>
    </row>
    <row r="8" spans="1:7" x14ac:dyDescent="0.2">
      <c r="B8" s="17" t="s">
        <v>44</v>
      </c>
      <c r="C8" s="19"/>
    </row>
    <row r="9" spans="1:7" ht="20" x14ac:dyDescent="0.2">
      <c r="B9" s="20" t="s">
        <v>49</v>
      </c>
      <c r="C9" s="5">
        <v>5000</v>
      </c>
      <c r="D9" s="29" t="s">
        <v>50</v>
      </c>
      <c r="E9" s="16"/>
      <c r="F9" s="16"/>
    </row>
    <row r="10" spans="1:7" ht="20" x14ac:dyDescent="0.2">
      <c r="B10" s="20" t="s">
        <v>24</v>
      </c>
      <c r="C10" s="21">
        <v>0.5</v>
      </c>
      <c r="D10" s="16"/>
      <c r="E10" s="16"/>
      <c r="F10" s="16"/>
    </row>
    <row r="11" spans="1:7" ht="20" x14ac:dyDescent="0.2">
      <c r="B11" s="20" t="s">
        <v>43</v>
      </c>
      <c r="C11" s="5">
        <v>1000</v>
      </c>
      <c r="D11" s="16"/>
      <c r="E11" s="16"/>
      <c r="F11" s="16"/>
    </row>
    <row r="12" spans="1:7" x14ac:dyDescent="0.2">
      <c r="B12" s="20"/>
      <c r="C12" s="5"/>
      <c r="D12" s="16"/>
      <c r="E12" s="16"/>
      <c r="F12" s="16"/>
    </row>
    <row r="13" spans="1:7" x14ac:dyDescent="0.2">
      <c r="B13" s="20"/>
      <c r="C13" s="21"/>
      <c r="D13" s="16"/>
      <c r="E13" s="16"/>
      <c r="F13" s="16"/>
    </row>
    <row r="14" spans="1:7" x14ac:dyDescent="0.2">
      <c r="B14" s="106" t="s">
        <v>7</v>
      </c>
      <c r="C14" s="106"/>
      <c r="D14" s="16"/>
      <c r="E14" s="16"/>
      <c r="F14" s="16"/>
    </row>
    <row r="15" spans="1:7" ht="6" customHeight="1" x14ac:dyDescent="0.2">
      <c r="D15" s="16"/>
      <c r="E15" s="16"/>
      <c r="F15" s="16"/>
    </row>
    <row r="16" spans="1:7" x14ac:dyDescent="0.2">
      <c r="B16" s="9" t="s">
        <v>8</v>
      </c>
      <c r="C16" s="10">
        <f>Janvier!C38</f>
        <v>6500</v>
      </c>
      <c r="D16" s="16"/>
      <c r="E16" s="16"/>
      <c r="F16" s="16"/>
    </row>
    <row r="17" spans="2:6" ht="6" customHeight="1" x14ac:dyDescent="0.2"/>
    <row r="18" spans="2:6" x14ac:dyDescent="0.2">
      <c r="B18" s="12" t="s">
        <v>9</v>
      </c>
      <c r="C18" s="13"/>
    </row>
    <row r="19" spans="2:6" x14ac:dyDescent="0.2">
      <c r="B19" s="14" t="s">
        <v>36</v>
      </c>
      <c r="C19" s="15">
        <f>C5*C7</f>
        <v>10000</v>
      </c>
    </row>
    <row r="20" spans="2:6" ht="6" customHeight="1" x14ac:dyDescent="0.2"/>
    <row r="21" spans="2:6" x14ac:dyDescent="0.2">
      <c r="B21" s="12" t="s">
        <v>11</v>
      </c>
      <c r="C21" s="13"/>
    </row>
    <row r="22" spans="2:6" x14ac:dyDescent="0.2">
      <c r="B22" s="6" t="s">
        <v>46</v>
      </c>
      <c r="C22" s="7">
        <f>C9</f>
        <v>5000</v>
      </c>
    </row>
    <row r="23" spans="2:6" x14ac:dyDescent="0.2">
      <c r="B23" s="6" t="s">
        <v>30</v>
      </c>
      <c r="C23" s="7">
        <f>C10*(C5+C6)</f>
        <v>1500</v>
      </c>
    </row>
    <row r="24" spans="2:6" x14ac:dyDescent="0.2">
      <c r="B24" s="6" t="s">
        <v>47</v>
      </c>
      <c r="C24" s="7">
        <f>C11</f>
        <v>1000</v>
      </c>
    </row>
    <row r="25" spans="2:6" x14ac:dyDescent="0.2">
      <c r="B25" s="14" t="s">
        <v>37</v>
      </c>
      <c r="C25" s="15">
        <f>C4</f>
        <v>2500</v>
      </c>
    </row>
    <row r="26" spans="2:6" ht="6" customHeight="1" x14ac:dyDescent="0.2"/>
    <row r="27" spans="2:6" x14ac:dyDescent="0.2">
      <c r="B27" s="9" t="s">
        <v>13</v>
      </c>
      <c r="C27" s="10">
        <f>C16+SUM(C18:C19)-SUM(C21:C25)</f>
        <v>6500</v>
      </c>
    </row>
    <row r="28" spans="2:6" x14ac:dyDescent="0.2">
      <c r="B28" s="3"/>
      <c r="C28" s="5"/>
    </row>
    <row r="29" spans="2:6" x14ac:dyDescent="0.2">
      <c r="B29" s="3"/>
      <c r="C29" s="5"/>
    </row>
    <row r="30" spans="2:6" x14ac:dyDescent="0.2">
      <c r="B30" s="106" t="s">
        <v>21</v>
      </c>
      <c r="C30" s="106"/>
      <c r="E30" s="106" t="s">
        <v>31</v>
      </c>
      <c r="F30" s="106"/>
    </row>
    <row r="31" spans="2:6" ht="6" customHeight="1" x14ac:dyDescent="0.2"/>
    <row r="32" spans="2:6" x14ac:dyDescent="0.2">
      <c r="B32" s="22" t="s">
        <v>26</v>
      </c>
      <c r="C32" s="26">
        <f>(C5+C6)*C7</f>
        <v>30000</v>
      </c>
      <c r="E32" s="22" t="s">
        <v>27</v>
      </c>
      <c r="F32" s="23">
        <f>Janvier!C8</f>
        <v>1.5</v>
      </c>
    </row>
    <row r="33" spans="2:6" x14ac:dyDescent="0.2">
      <c r="B33" s="27" t="s">
        <v>32</v>
      </c>
      <c r="C33" s="7">
        <f>-F34*(C5+C6)</f>
        <v>-6000</v>
      </c>
      <c r="E33" s="14" t="s">
        <v>28</v>
      </c>
      <c r="F33" s="24">
        <f>C10</f>
        <v>0.5</v>
      </c>
    </row>
    <row r="34" spans="2:6" x14ac:dyDescent="0.2">
      <c r="B34" s="27" t="s">
        <v>48</v>
      </c>
      <c r="C34" s="7">
        <f>-C11</f>
        <v>-1000</v>
      </c>
      <c r="E34" s="9" t="s">
        <v>29</v>
      </c>
      <c r="F34" s="25">
        <f>SUM(F32:F33)</f>
        <v>2</v>
      </c>
    </row>
    <row r="35" spans="2:6" x14ac:dyDescent="0.2">
      <c r="B35" s="27" t="s">
        <v>33</v>
      </c>
      <c r="C35" s="7">
        <f>-C4</f>
        <v>-2500</v>
      </c>
    </row>
    <row r="36" spans="2:6" x14ac:dyDescent="0.2">
      <c r="B36" s="9" t="s">
        <v>34</v>
      </c>
      <c r="C36" s="10">
        <f>SUM(C32:C35)</f>
        <v>20500</v>
      </c>
    </row>
    <row r="37" spans="2:6" x14ac:dyDescent="0.2">
      <c r="B37" s="3"/>
      <c r="C37" s="5"/>
    </row>
    <row r="38" spans="2:6" x14ac:dyDescent="0.2">
      <c r="B38" s="3"/>
      <c r="C38" s="5"/>
    </row>
    <row r="39" spans="2:6" x14ac:dyDescent="0.2">
      <c r="B39" s="106" t="s">
        <v>59</v>
      </c>
      <c r="C39" s="106"/>
      <c r="D39" s="106"/>
      <c r="E39" s="106"/>
      <c r="F39" s="106"/>
    </row>
    <row r="40" spans="2:6" ht="6" customHeight="1" x14ac:dyDescent="0.2"/>
    <row r="41" spans="2:6" x14ac:dyDescent="0.2">
      <c r="B41" s="107" t="s">
        <v>18</v>
      </c>
      <c r="C41" s="108"/>
      <c r="D41" s="3"/>
      <c r="E41" s="107" t="s">
        <v>19</v>
      </c>
      <c r="F41" s="108"/>
    </row>
    <row r="42" spans="2:6" x14ac:dyDescent="0.2">
      <c r="B42" s="6" t="s">
        <v>4</v>
      </c>
      <c r="C42" s="7">
        <f>Janvier!C37+Fevrier!C9-Fevrier!F32*(Fevrier!C5+Fevrier!C6)</f>
        <v>500</v>
      </c>
      <c r="E42" s="6" t="s">
        <v>6</v>
      </c>
      <c r="F42" s="7">
        <f>Lancement!F27</f>
        <v>5000</v>
      </c>
    </row>
    <row r="43" spans="2:6" x14ac:dyDescent="0.2">
      <c r="B43" s="6" t="s">
        <v>45</v>
      </c>
      <c r="C43" s="7">
        <f>C6*C7</f>
        <v>20000</v>
      </c>
      <c r="E43" s="6" t="s">
        <v>35</v>
      </c>
      <c r="F43" s="7">
        <f>Janvier!F38</f>
        <v>1500</v>
      </c>
    </row>
    <row r="44" spans="2:6" x14ac:dyDescent="0.2">
      <c r="B44" s="6" t="s">
        <v>5</v>
      </c>
      <c r="C44" s="7">
        <f>C27</f>
        <v>6500</v>
      </c>
      <c r="E44" s="6" t="s">
        <v>51</v>
      </c>
      <c r="F44" s="7">
        <f>C36</f>
        <v>20500</v>
      </c>
    </row>
    <row r="45" spans="2:6" x14ac:dyDescent="0.2">
      <c r="B45" s="9" t="s">
        <v>16</v>
      </c>
      <c r="C45" s="10">
        <f>SUM(C42:C44)</f>
        <v>27000</v>
      </c>
      <c r="D45" s="3"/>
      <c r="E45" s="9" t="s">
        <v>17</v>
      </c>
      <c r="F45" s="10">
        <f>SUM(F42:F44)</f>
        <v>27000</v>
      </c>
    </row>
  </sheetData>
  <mergeCells count="7">
    <mergeCell ref="B41:C41"/>
    <mergeCell ref="E41:F41"/>
    <mergeCell ref="E30:F30"/>
    <mergeCell ref="B30:C30"/>
    <mergeCell ref="A1:G1"/>
    <mergeCell ref="B39:F39"/>
    <mergeCell ref="B14:C14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84" orientation="portrait" horizontalDpi="0" verticalDpi="0"/>
  <rowBreaks count="1" manualBreakCount="1">
    <brk id="45" max="16383" man="1"/>
  </rowBreaks>
  <colBreaks count="1" manualBreakCount="1">
    <brk id="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53"/>
  <sheetViews>
    <sheetView topLeftCell="A20" zoomScale="102" workbookViewId="0">
      <selection activeCell="B44" sqref="B44:F53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7.83203125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52</v>
      </c>
      <c r="B1" s="104"/>
      <c r="C1" s="104"/>
      <c r="D1" s="104"/>
      <c r="E1" s="104"/>
      <c r="F1" s="104"/>
      <c r="G1" s="104"/>
    </row>
    <row r="4" spans="1:7" x14ac:dyDescent="0.2">
      <c r="B4" s="1" t="s">
        <v>53</v>
      </c>
      <c r="C4" s="5">
        <v>36000</v>
      </c>
      <c r="D4" s="1" t="s">
        <v>150</v>
      </c>
      <c r="F4" s="4"/>
    </row>
    <row r="5" spans="1:7" x14ac:dyDescent="0.2">
      <c r="B5" s="1" t="s">
        <v>77</v>
      </c>
      <c r="C5" s="18">
        <v>1000</v>
      </c>
      <c r="D5" s="1" t="s">
        <v>80</v>
      </c>
    </row>
    <row r="6" spans="1:7" x14ac:dyDescent="0.2">
      <c r="B6" s="1" t="s">
        <v>149</v>
      </c>
      <c r="C6" s="18">
        <v>2000</v>
      </c>
      <c r="D6" s="1" t="s">
        <v>41</v>
      </c>
    </row>
    <row r="7" spans="1:7" x14ac:dyDescent="0.2">
      <c r="B7" s="17" t="s">
        <v>78</v>
      </c>
      <c r="C7" s="19">
        <v>10</v>
      </c>
      <c r="D7" s="1" t="s">
        <v>42</v>
      </c>
    </row>
    <row r="8" spans="1:7" x14ac:dyDescent="0.2">
      <c r="B8" s="17" t="s">
        <v>152</v>
      </c>
      <c r="C8" s="19"/>
    </row>
    <row r="9" spans="1:7" ht="20" x14ac:dyDescent="0.2">
      <c r="B9" s="20" t="s">
        <v>49</v>
      </c>
      <c r="C9" s="5">
        <v>5000</v>
      </c>
      <c r="D9" s="29" t="s">
        <v>50</v>
      </c>
      <c r="E9" s="16"/>
      <c r="F9" s="16"/>
    </row>
    <row r="10" spans="1:7" ht="20" x14ac:dyDescent="0.2">
      <c r="B10" s="20" t="s">
        <v>24</v>
      </c>
      <c r="C10" s="21">
        <v>0.5</v>
      </c>
      <c r="D10" s="16"/>
      <c r="E10" s="16"/>
      <c r="F10" s="16"/>
    </row>
    <row r="11" spans="1:7" ht="20" x14ac:dyDescent="0.2">
      <c r="B11" s="20" t="s">
        <v>43</v>
      </c>
      <c r="C11" s="5">
        <v>1000</v>
      </c>
      <c r="D11" s="16"/>
      <c r="E11" s="16"/>
      <c r="F11" s="16"/>
    </row>
    <row r="12" spans="1:7" x14ac:dyDescent="0.2">
      <c r="B12" s="20" t="s">
        <v>54</v>
      </c>
      <c r="C12" s="5">
        <v>300</v>
      </c>
      <c r="D12" s="16"/>
      <c r="E12" s="16"/>
      <c r="F12" s="16"/>
    </row>
    <row r="13" spans="1:7" x14ac:dyDescent="0.2">
      <c r="B13" s="17" t="s">
        <v>64</v>
      </c>
      <c r="C13" s="30">
        <v>3</v>
      </c>
      <c r="D13" s="29" t="s">
        <v>151</v>
      </c>
      <c r="E13" s="16"/>
      <c r="F13" s="16"/>
    </row>
    <row r="14" spans="1:7" x14ac:dyDescent="0.2">
      <c r="B14" s="17"/>
      <c r="C14" s="30"/>
      <c r="D14" s="29"/>
      <c r="E14" s="16"/>
      <c r="F14" s="16"/>
    </row>
    <row r="15" spans="1:7" x14ac:dyDescent="0.2">
      <c r="B15" s="20"/>
      <c r="C15" s="21"/>
      <c r="D15" s="16"/>
      <c r="E15" s="16"/>
      <c r="F15" s="16"/>
    </row>
    <row r="16" spans="1:7" x14ac:dyDescent="0.2">
      <c r="B16" s="106" t="s">
        <v>7</v>
      </c>
      <c r="C16" s="106"/>
      <c r="D16" s="16"/>
      <c r="E16" s="16"/>
      <c r="F16" s="16"/>
    </row>
    <row r="17" spans="2:6" ht="6" customHeight="1" x14ac:dyDescent="0.2">
      <c r="D17" s="16"/>
      <c r="E17" s="16"/>
      <c r="F17" s="16"/>
    </row>
    <row r="18" spans="2:6" x14ac:dyDescent="0.2">
      <c r="B18" s="9" t="s">
        <v>8</v>
      </c>
      <c r="C18" s="10"/>
      <c r="D18" s="16"/>
      <c r="E18" s="16"/>
      <c r="F18" s="16"/>
    </row>
    <row r="19" spans="2:6" ht="6" customHeight="1" x14ac:dyDescent="0.2">
      <c r="D19" s="16"/>
      <c r="E19" s="16"/>
      <c r="F19" s="16"/>
    </row>
    <row r="20" spans="2:6" x14ac:dyDescent="0.2">
      <c r="B20" s="12" t="s">
        <v>9</v>
      </c>
      <c r="C20" s="13"/>
      <c r="D20" s="16"/>
      <c r="E20" s="16"/>
      <c r="F20" s="16"/>
    </row>
    <row r="21" spans="2:6" x14ac:dyDescent="0.2">
      <c r="B21" s="6" t="s">
        <v>60</v>
      </c>
      <c r="C21" s="7"/>
      <c r="D21" s="16"/>
      <c r="E21" s="16"/>
      <c r="F21" s="16"/>
    </row>
    <row r="22" spans="2:6" x14ac:dyDescent="0.2">
      <c r="B22" s="14" t="s">
        <v>36</v>
      </c>
      <c r="C22" s="15"/>
      <c r="D22" s="16"/>
      <c r="E22" s="16"/>
      <c r="F22" s="16"/>
    </row>
    <row r="23" spans="2:6" ht="6" customHeight="1" x14ac:dyDescent="0.2">
      <c r="D23" s="16"/>
      <c r="E23" s="16"/>
      <c r="F23" s="16"/>
    </row>
    <row r="24" spans="2:6" x14ac:dyDescent="0.2">
      <c r="B24" s="12" t="s">
        <v>11</v>
      </c>
      <c r="C24" s="13"/>
      <c r="D24" s="16"/>
      <c r="E24" s="16"/>
      <c r="F24" s="16"/>
    </row>
    <row r="25" spans="2:6" x14ac:dyDescent="0.2">
      <c r="B25" s="6" t="s">
        <v>68</v>
      </c>
      <c r="C25" s="7"/>
      <c r="D25" s="16"/>
      <c r="E25" s="16"/>
      <c r="F25" s="16"/>
    </row>
    <row r="26" spans="2:6" x14ac:dyDescent="0.2">
      <c r="B26" s="6" t="s">
        <v>46</v>
      </c>
      <c r="C26" s="7"/>
      <c r="D26" s="16"/>
      <c r="E26" s="16"/>
      <c r="F26" s="16"/>
    </row>
    <row r="27" spans="2:6" x14ac:dyDescent="0.2">
      <c r="B27" s="6" t="s">
        <v>30</v>
      </c>
      <c r="C27" s="7"/>
      <c r="D27" s="16"/>
      <c r="E27" s="16"/>
      <c r="F27" s="16"/>
    </row>
    <row r="28" spans="2:6" x14ac:dyDescent="0.2">
      <c r="B28" s="6" t="s">
        <v>47</v>
      </c>
      <c r="C28" s="7"/>
      <c r="D28" s="16"/>
      <c r="E28" s="16"/>
      <c r="F28" s="16"/>
    </row>
    <row r="29" spans="2:6" x14ac:dyDescent="0.2">
      <c r="B29" s="14" t="s">
        <v>61</v>
      </c>
      <c r="C29" s="15"/>
      <c r="D29" s="16"/>
      <c r="E29" s="16"/>
      <c r="F29" s="16"/>
    </row>
    <row r="30" spans="2:6" ht="6" customHeight="1" x14ac:dyDescent="0.2">
      <c r="D30" s="16"/>
      <c r="E30" s="16"/>
      <c r="F30" s="16"/>
    </row>
    <row r="31" spans="2:6" x14ac:dyDescent="0.2">
      <c r="B31" s="9" t="s">
        <v>13</v>
      </c>
      <c r="C31" s="10"/>
      <c r="D31" s="16"/>
      <c r="E31" s="16"/>
      <c r="F31" s="16"/>
    </row>
    <row r="32" spans="2:6" x14ac:dyDescent="0.2">
      <c r="B32" s="3"/>
      <c r="C32" s="5"/>
      <c r="D32" s="16"/>
      <c r="E32" s="16"/>
      <c r="F32" s="16"/>
    </row>
    <row r="33" spans="2:6" x14ac:dyDescent="0.2">
      <c r="B33" s="3"/>
      <c r="C33" s="5"/>
      <c r="D33" s="16"/>
      <c r="E33" s="16"/>
      <c r="F33" s="16"/>
    </row>
    <row r="34" spans="2:6" x14ac:dyDescent="0.2">
      <c r="B34" s="106" t="s">
        <v>21</v>
      </c>
      <c r="C34" s="106"/>
      <c r="D34" s="16"/>
      <c r="E34" s="106" t="s">
        <v>31</v>
      </c>
      <c r="F34" s="106"/>
    </row>
    <row r="35" spans="2:6" ht="6" customHeight="1" x14ac:dyDescent="0.2">
      <c r="D35" s="16"/>
      <c r="E35" s="16"/>
      <c r="F35" s="16"/>
    </row>
    <row r="36" spans="2:6" x14ac:dyDescent="0.2">
      <c r="B36" s="22" t="s">
        <v>26</v>
      </c>
      <c r="C36" s="26"/>
      <c r="D36" s="16"/>
      <c r="E36" s="22" t="s">
        <v>27</v>
      </c>
      <c r="F36" s="23"/>
    </row>
    <row r="37" spans="2:6" x14ac:dyDescent="0.2">
      <c r="B37" s="27" t="s">
        <v>32</v>
      </c>
      <c r="C37" s="7"/>
      <c r="D37" s="16"/>
      <c r="E37" s="14" t="s">
        <v>28</v>
      </c>
      <c r="F37" s="24"/>
    </row>
    <row r="38" spans="2:6" x14ac:dyDescent="0.2">
      <c r="B38" s="27" t="s">
        <v>48</v>
      </c>
      <c r="C38" s="7"/>
      <c r="D38" s="16"/>
      <c r="E38" s="9" t="s">
        <v>29</v>
      </c>
      <c r="F38" s="25"/>
    </row>
    <row r="39" spans="2:6" x14ac:dyDescent="0.2">
      <c r="B39" s="27" t="s">
        <v>71</v>
      </c>
      <c r="C39" s="7"/>
      <c r="D39" s="16"/>
      <c r="E39" s="16"/>
      <c r="F39" s="16"/>
    </row>
    <row r="40" spans="2:6" x14ac:dyDescent="0.2">
      <c r="B40" s="27" t="s">
        <v>70</v>
      </c>
      <c r="C40" s="7"/>
      <c r="D40" s="16"/>
      <c r="E40" s="16"/>
      <c r="F40" s="16"/>
    </row>
    <row r="41" spans="2:6" x14ac:dyDescent="0.2">
      <c r="B41" s="9" t="s">
        <v>34</v>
      </c>
      <c r="C41" s="10"/>
    </row>
    <row r="43" spans="2:6" x14ac:dyDescent="0.2">
      <c r="B43" s="3"/>
      <c r="C43" s="5"/>
    </row>
    <row r="44" spans="2:6" x14ac:dyDescent="0.2">
      <c r="B44" s="106" t="s">
        <v>59</v>
      </c>
      <c r="C44" s="106"/>
      <c r="D44" s="106"/>
      <c r="E44" s="106"/>
      <c r="F44" s="106"/>
    </row>
    <row r="45" spans="2:6" ht="6" customHeight="1" x14ac:dyDescent="0.2">
      <c r="D45" s="16"/>
      <c r="E45" s="16"/>
      <c r="F45" s="16"/>
    </row>
    <row r="46" spans="2:6" x14ac:dyDescent="0.2">
      <c r="B46" s="107" t="s">
        <v>18</v>
      </c>
      <c r="C46" s="108"/>
      <c r="D46" s="3"/>
      <c r="E46" s="107" t="s">
        <v>19</v>
      </c>
      <c r="F46" s="108"/>
    </row>
    <row r="47" spans="2:6" x14ac:dyDescent="0.2">
      <c r="B47" s="32" t="s">
        <v>62</v>
      </c>
      <c r="C47" s="38"/>
      <c r="D47" s="3"/>
      <c r="E47" s="34" t="s">
        <v>6</v>
      </c>
      <c r="F47" s="35"/>
    </row>
    <row r="48" spans="2:6" x14ac:dyDescent="0.2">
      <c r="B48" s="33" t="s">
        <v>57</v>
      </c>
      <c r="C48" s="38"/>
      <c r="D48" s="3"/>
      <c r="E48" s="36" t="s">
        <v>55</v>
      </c>
      <c r="F48" s="37"/>
    </row>
    <row r="49" spans="2:6" x14ac:dyDescent="0.2">
      <c r="B49" s="31" t="s">
        <v>63</v>
      </c>
      <c r="C49" s="39"/>
      <c r="D49" s="3"/>
      <c r="E49" s="36" t="s">
        <v>56</v>
      </c>
      <c r="F49" s="37"/>
    </row>
    <row r="50" spans="2:6" x14ac:dyDescent="0.2">
      <c r="B50" s="6" t="s">
        <v>4</v>
      </c>
      <c r="C50" s="7"/>
      <c r="E50" s="6" t="s">
        <v>58</v>
      </c>
      <c r="F50" s="7"/>
    </row>
    <row r="51" spans="2:6" x14ac:dyDescent="0.2">
      <c r="B51" s="6" t="s">
        <v>45</v>
      </c>
      <c r="C51" s="7"/>
      <c r="E51" s="6"/>
      <c r="F51" s="8"/>
    </row>
    <row r="52" spans="2:6" x14ac:dyDescent="0.2">
      <c r="B52" s="6" t="s">
        <v>5</v>
      </c>
      <c r="C52" s="7"/>
      <c r="E52" s="6" t="s">
        <v>69</v>
      </c>
      <c r="F52" s="15"/>
    </row>
    <row r="53" spans="2:6" x14ac:dyDescent="0.2">
      <c r="B53" s="9" t="s">
        <v>16</v>
      </c>
      <c r="C53" s="10"/>
      <c r="D53" s="3"/>
      <c r="E53" s="9" t="s">
        <v>17</v>
      </c>
      <c r="F53" s="10"/>
    </row>
  </sheetData>
  <mergeCells count="7">
    <mergeCell ref="B46:C46"/>
    <mergeCell ref="E46:F46"/>
    <mergeCell ref="A1:G1"/>
    <mergeCell ref="B16:C16"/>
    <mergeCell ref="B34:C34"/>
    <mergeCell ref="E34:F34"/>
    <mergeCell ref="B44:F44"/>
  </mergeCells>
  <phoneticPr fontId="7" type="noConversion"/>
  <printOptions horizontalCentered="1"/>
  <pageMargins left="0.70000000000000007" right="0.70000000000000007" top="0.36000000000000004" bottom="0.36000000000000004" header="0.30000000000000004" footer="0.30000000000000004"/>
  <pageSetup paperSize="9" scale="84" orientation="portrait" horizontalDpi="0" verticalDpi="0" copies="15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53"/>
  <sheetViews>
    <sheetView zoomScale="102" workbookViewId="0">
      <selection activeCell="B8" sqref="B8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7.83203125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52</v>
      </c>
      <c r="B1" s="104"/>
      <c r="C1" s="104"/>
      <c r="D1" s="104"/>
      <c r="E1" s="104"/>
      <c r="F1" s="104"/>
      <c r="G1" s="104"/>
    </row>
    <row r="4" spans="1:7" x14ac:dyDescent="0.2">
      <c r="B4" s="1" t="s">
        <v>53</v>
      </c>
      <c r="C4" s="5">
        <v>36000</v>
      </c>
      <c r="D4" s="1" t="s">
        <v>150</v>
      </c>
      <c r="F4" s="4"/>
    </row>
    <row r="5" spans="1:7" x14ac:dyDescent="0.2">
      <c r="B5" s="1" t="s">
        <v>77</v>
      </c>
      <c r="C5" s="18">
        <v>1000</v>
      </c>
      <c r="D5" s="1" t="s">
        <v>80</v>
      </c>
    </row>
    <row r="6" spans="1:7" x14ac:dyDescent="0.2">
      <c r="B6" s="1" t="s">
        <v>149</v>
      </c>
      <c r="C6" s="18">
        <v>2000</v>
      </c>
      <c r="D6" s="1" t="s">
        <v>41</v>
      </c>
    </row>
    <row r="7" spans="1:7" x14ac:dyDescent="0.2">
      <c r="B7" s="17" t="s">
        <v>78</v>
      </c>
      <c r="C7" s="19">
        <v>10</v>
      </c>
      <c r="D7" s="1" t="s">
        <v>42</v>
      </c>
    </row>
    <row r="8" spans="1:7" x14ac:dyDescent="0.2">
      <c r="B8" s="17" t="s">
        <v>152</v>
      </c>
      <c r="C8" s="19"/>
    </row>
    <row r="9" spans="1:7" ht="20" x14ac:dyDescent="0.2">
      <c r="B9" s="20" t="s">
        <v>49</v>
      </c>
      <c r="C9" s="5">
        <v>5000</v>
      </c>
      <c r="D9" s="29" t="s">
        <v>50</v>
      </c>
      <c r="E9" s="16"/>
      <c r="F9" s="16"/>
    </row>
    <row r="10" spans="1:7" ht="20" x14ac:dyDescent="0.2">
      <c r="B10" s="20" t="s">
        <v>24</v>
      </c>
      <c r="C10" s="21">
        <v>0.5</v>
      </c>
      <c r="D10" s="16"/>
      <c r="E10" s="16"/>
      <c r="F10" s="16"/>
    </row>
    <row r="11" spans="1:7" ht="20" x14ac:dyDescent="0.2">
      <c r="B11" s="20" t="s">
        <v>43</v>
      </c>
      <c r="C11" s="5">
        <v>1000</v>
      </c>
      <c r="D11" s="16"/>
      <c r="E11" s="16"/>
      <c r="F11" s="16"/>
    </row>
    <row r="12" spans="1:7" x14ac:dyDescent="0.2">
      <c r="B12" s="20" t="s">
        <v>54</v>
      </c>
      <c r="C12" s="5">
        <v>300</v>
      </c>
      <c r="D12" s="16"/>
      <c r="E12" s="16"/>
      <c r="F12" s="16"/>
    </row>
    <row r="13" spans="1:7" x14ac:dyDescent="0.2">
      <c r="B13" s="17" t="s">
        <v>64</v>
      </c>
      <c r="C13" s="30">
        <v>3</v>
      </c>
      <c r="D13" s="29" t="s">
        <v>151</v>
      </c>
      <c r="E13" s="16"/>
      <c r="F13" s="16"/>
    </row>
    <row r="14" spans="1:7" x14ac:dyDescent="0.2">
      <c r="B14" s="17"/>
      <c r="C14" s="30"/>
      <c r="D14" s="29"/>
      <c r="E14" s="16"/>
      <c r="F14" s="16"/>
    </row>
    <row r="15" spans="1:7" x14ac:dyDescent="0.2">
      <c r="B15" s="20"/>
      <c r="C15" s="21"/>
      <c r="D15" s="16"/>
      <c r="E15" s="16"/>
      <c r="F15" s="16"/>
    </row>
    <row r="16" spans="1:7" x14ac:dyDescent="0.2">
      <c r="B16" s="106" t="s">
        <v>7</v>
      </c>
      <c r="C16" s="106"/>
      <c r="D16" s="16"/>
      <c r="E16" s="16"/>
      <c r="F16" s="16"/>
    </row>
    <row r="17" spans="2:6" ht="6" customHeight="1" x14ac:dyDescent="0.2">
      <c r="D17" s="16"/>
      <c r="E17" s="16"/>
      <c r="F17" s="16"/>
    </row>
    <row r="18" spans="2:6" x14ac:dyDescent="0.2">
      <c r="B18" s="9" t="s">
        <v>8</v>
      </c>
      <c r="C18" s="10">
        <f>Fevrier!C44</f>
        <v>6500</v>
      </c>
      <c r="D18" s="16"/>
      <c r="E18" s="16"/>
      <c r="F18" s="16"/>
    </row>
    <row r="19" spans="2:6" ht="6" customHeight="1" x14ac:dyDescent="0.2">
      <c r="D19" s="16"/>
      <c r="E19" s="16"/>
      <c r="F19" s="16"/>
    </row>
    <row r="20" spans="2:6" x14ac:dyDescent="0.2">
      <c r="B20" s="12" t="s">
        <v>9</v>
      </c>
      <c r="C20" s="13"/>
      <c r="D20" s="16"/>
      <c r="E20" s="16"/>
      <c r="F20" s="16"/>
    </row>
    <row r="21" spans="2:6" x14ac:dyDescent="0.2">
      <c r="B21" s="6" t="s">
        <v>60</v>
      </c>
      <c r="C21" s="7">
        <f>Fevrier!C43</f>
        <v>20000</v>
      </c>
      <c r="D21" s="16"/>
      <c r="E21" s="16"/>
      <c r="F21" s="16"/>
    </row>
    <row r="22" spans="2:6" x14ac:dyDescent="0.2">
      <c r="B22" s="14" t="s">
        <v>36</v>
      </c>
      <c r="C22" s="15">
        <f>C5*C7</f>
        <v>10000</v>
      </c>
      <c r="D22" s="16"/>
      <c r="E22" s="16"/>
      <c r="F22" s="16"/>
    </row>
    <row r="23" spans="2:6" ht="6" customHeight="1" x14ac:dyDescent="0.2">
      <c r="D23" s="16"/>
      <c r="E23" s="16"/>
      <c r="F23" s="16"/>
    </row>
    <row r="24" spans="2:6" x14ac:dyDescent="0.2">
      <c r="B24" s="12" t="s">
        <v>11</v>
      </c>
      <c r="C24" s="13"/>
      <c r="D24" s="16"/>
      <c r="E24" s="16"/>
      <c r="F24" s="16"/>
    </row>
    <row r="25" spans="2:6" x14ac:dyDescent="0.2">
      <c r="B25" s="6" t="s">
        <v>68</v>
      </c>
      <c r="C25" s="7">
        <f>0.5*C4</f>
        <v>18000</v>
      </c>
      <c r="D25" s="16"/>
      <c r="E25" s="16"/>
      <c r="F25" s="16"/>
    </row>
    <row r="26" spans="2:6" x14ac:dyDescent="0.2">
      <c r="B26" s="6" t="s">
        <v>46</v>
      </c>
      <c r="C26" s="7">
        <f>C9</f>
        <v>5000</v>
      </c>
      <c r="D26" s="16"/>
      <c r="E26" s="16"/>
      <c r="F26" s="16"/>
    </row>
    <row r="27" spans="2:6" x14ac:dyDescent="0.2">
      <c r="B27" s="6" t="s">
        <v>30</v>
      </c>
      <c r="C27" s="7">
        <f>C10*(C5+C6)</f>
        <v>1500</v>
      </c>
      <c r="D27" s="16"/>
      <c r="E27" s="16"/>
      <c r="F27" s="16"/>
    </row>
    <row r="28" spans="2:6" x14ac:dyDescent="0.2">
      <c r="B28" s="6" t="s">
        <v>47</v>
      </c>
      <c r="C28" s="7">
        <f>C11</f>
        <v>1000</v>
      </c>
      <c r="D28" s="16"/>
      <c r="E28" s="16"/>
      <c r="F28" s="16"/>
    </row>
    <row r="29" spans="2:6" x14ac:dyDescent="0.2">
      <c r="B29" s="14" t="s">
        <v>61</v>
      </c>
      <c r="C29" s="15">
        <f>C12</f>
        <v>300</v>
      </c>
      <c r="D29" s="16"/>
      <c r="E29" s="16"/>
      <c r="F29" s="16"/>
    </row>
    <row r="30" spans="2:6" ht="6" customHeight="1" x14ac:dyDescent="0.2">
      <c r="D30" s="16"/>
      <c r="E30" s="16"/>
      <c r="F30" s="16"/>
    </row>
    <row r="31" spans="2:6" x14ac:dyDescent="0.2">
      <c r="B31" s="9" t="s">
        <v>13</v>
      </c>
      <c r="C31" s="10">
        <f>C18+SUM(C20:C22)-SUM(C24:C29)</f>
        <v>10700</v>
      </c>
      <c r="D31" s="16"/>
      <c r="E31" s="16"/>
      <c r="F31" s="16"/>
    </row>
    <row r="32" spans="2:6" x14ac:dyDescent="0.2">
      <c r="B32" s="3"/>
      <c r="C32" s="5"/>
      <c r="D32" s="16"/>
      <c r="E32" s="16"/>
      <c r="F32" s="16"/>
    </row>
    <row r="33" spans="2:6" x14ac:dyDescent="0.2">
      <c r="B33" s="3"/>
      <c r="C33" s="5"/>
      <c r="D33" s="16"/>
      <c r="E33" s="16"/>
      <c r="F33" s="16"/>
    </row>
    <row r="34" spans="2:6" x14ac:dyDescent="0.2">
      <c r="B34" s="106" t="s">
        <v>21</v>
      </c>
      <c r="C34" s="106"/>
      <c r="D34" s="16"/>
      <c r="E34" s="106" t="s">
        <v>31</v>
      </c>
      <c r="F34" s="106"/>
    </row>
    <row r="35" spans="2:6" ht="6" customHeight="1" x14ac:dyDescent="0.2">
      <c r="D35" s="16"/>
      <c r="E35" s="16"/>
      <c r="F35" s="16"/>
    </row>
    <row r="36" spans="2:6" x14ac:dyDescent="0.2">
      <c r="B36" s="22" t="s">
        <v>26</v>
      </c>
      <c r="C36" s="26">
        <f>SUM(C5:C6)*C7</f>
        <v>30000</v>
      </c>
      <c r="D36" s="16"/>
      <c r="E36" s="22" t="s">
        <v>27</v>
      </c>
      <c r="F36" s="23">
        <f>Fevrier!F32</f>
        <v>1.5</v>
      </c>
    </row>
    <row r="37" spans="2:6" x14ac:dyDescent="0.2">
      <c r="B37" s="27" t="s">
        <v>32</v>
      </c>
      <c r="C37" s="7">
        <f>-F38*SUM(C5:C6)</f>
        <v>-6000</v>
      </c>
      <c r="D37" s="16"/>
      <c r="E37" s="14" t="s">
        <v>28</v>
      </c>
      <c r="F37" s="24">
        <f>C10</f>
        <v>0.5</v>
      </c>
    </row>
    <row r="38" spans="2:6" x14ac:dyDescent="0.2">
      <c r="B38" s="27" t="s">
        <v>48</v>
      </c>
      <c r="C38" s="7">
        <f>-C11</f>
        <v>-1000</v>
      </c>
      <c r="D38" s="16"/>
      <c r="E38" s="9" t="s">
        <v>29</v>
      </c>
      <c r="F38" s="25">
        <f>SUM(F36:F37)</f>
        <v>2</v>
      </c>
    </row>
    <row r="39" spans="2:6" x14ac:dyDescent="0.2">
      <c r="B39" s="27" t="s">
        <v>71</v>
      </c>
      <c r="C39" s="7">
        <f>-C12</f>
        <v>-300</v>
      </c>
      <c r="D39" s="16"/>
      <c r="E39" s="16"/>
      <c r="F39" s="16"/>
    </row>
    <row r="40" spans="2:6" x14ac:dyDescent="0.2">
      <c r="B40" s="27" t="s">
        <v>70</v>
      </c>
      <c r="C40" s="7">
        <f>-C4/C13/12</f>
        <v>-1000</v>
      </c>
      <c r="D40" s="16"/>
      <c r="E40" s="16"/>
      <c r="F40" s="16"/>
    </row>
    <row r="41" spans="2:6" x14ac:dyDescent="0.2">
      <c r="B41" s="9" t="s">
        <v>34</v>
      </c>
      <c r="C41" s="10">
        <f>SUM(C36:C40)</f>
        <v>21700</v>
      </c>
    </row>
    <row r="43" spans="2:6" x14ac:dyDescent="0.2">
      <c r="B43" s="3"/>
      <c r="C43" s="5"/>
    </row>
    <row r="44" spans="2:6" x14ac:dyDescent="0.2">
      <c r="B44" s="106" t="s">
        <v>59</v>
      </c>
      <c r="C44" s="106"/>
      <c r="D44" s="106"/>
      <c r="E44" s="106"/>
      <c r="F44" s="106"/>
    </row>
    <row r="45" spans="2:6" ht="6" customHeight="1" x14ac:dyDescent="0.2">
      <c r="D45" s="16"/>
      <c r="E45" s="16"/>
      <c r="F45" s="16"/>
    </row>
    <row r="46" spans="2:6" x14ac:dyDescent="0.2">
      <c r="B46" s="107" t="s">
        <v>18</v>
      </c>
      <c r="C46" s="108"/>
      <c r="D46" s="3"/>
      <c r="E46" s="107" t="s">
        <v>19</v>
      </c>
      <c r="F46" s="108"/>
    </row>
    <row r="47" spans="2:6" x14ac:dyDescent="0.2">
      <c r="B47" s="32" t="s">
        <v>62</v>
      </c>
      <c r="C47" s="38">
        <f>C4</f>
        <v>36000</v>
      </c>
      <c r="D47" s="3"/>
      <c r="E47" s="34" t="s">
        <v>6</v>
      </c>
      <c r="F47" s="35">
        <f>Fevrier!F42</f>
        <v>5000</v>
      </c>
    </row>
    <row r="48" spans="2:6" x14ac:dyDescent="0.2">
      <c r="B48" s="33" t="s">
        <v>57</v>
      </c>
      <c r="C48" s="38">
        <f>C40</f>
        <v>-1000</v>
      </c>
      <c r="D48" s="3"/>
      <c r="E48" s="36" t="s">
        <v>55</v>
      </c>
      <c r="F48" s="37">
        <f>SUM(Fevrier!F43:F44)</f>
        <v>22000</v>
      </c>
    </row>
    <row r="49" spans="2:6" x14ac:dyDescent="0.2">
      <c r="B49" s="31" t="s">
        <v>63</v>
      </c>
      <c r="C49" s="39">
        <f>SUM(C47:C48)</f>
        <v>35000</v>
      </c>
      <c r="D49" s="3"/>
      <c r="E49" s="36" t="s">
        <v>56</v>
      </c>
      <c r="F49" s="37">
        <f>C41</f>
        <v>21700</v>
      </c>
    </row>
    <row r="50" spans="2:6" x14ac:dyDescent="0.2">
      <c r="B50" s="6" t="s">
        <v>4</v>
      </c>
      <c r="C50" s="7">
        <f>Fevrier!C42+Mars!C9-(Mars!C5+Mars!C6)*Mars!F36</f>
        <v>1000</v>
      </c>
      <c r="E50" s="6" t="s">
        <v>58</v>
      </c>
      <c r="F50" s="7">
        <f>SUM(F47:F49)</f>
        <v>48700</v>
      </c>
    </row>
    <row r="51" spans="2:6" x14ac:dyDescent="0.2">
      <c r="B51" s="6" t="s">
        <v>45</v>
      </c>
      <c r="C51" s="7">
        <f>C6*C7</f>
        <v>20000</v>
      </c>
      <c r="E51" s="6"/>
      <c r="F51" s="8"/>
    </row>
    <row r="52" spans="2:6" x14ac:dyDescent="0.2">
      <c r="B52" s="6" t="s">
        <v>5</v>
      </c>
      <c r="C52" s="7">
        <f>C31</f>
        <v>10700</v>
      </c>
      <c r="E52" s="6" t="s">
        <v>69</v>
      </c>
      <c r="F52" s="15">
        <f>C4-C25</f>
        <v>18000</v>
      </c>
    </row>
    <row r="53" spans="2:6" x14ac:dyDescent="0.2">
      <c r="B53" s="9" t="s">
        <v>16</v>
      </c>
      <c r="C53" s="10">
        <f>SUM(C49:C52)</f>
        <v>66700</v>
      </c>
      <c r="D53" s="3"/>
      <c r="E53" s="9" t="s">
        <v>17</v>
      </c>
      <c r="F53" s="10">
        <f>SUM(F50:F52)</f>
        <v>66700</v>
      </c>
    </row>
  </sheetData>
  <mergeCells count="7">
    <mergeCell ref="A1:G1"/>
    <mergeCell ref="B44:F44"/>
    <mergeCell ref="B46:C46"/>
    <mergeCell ref="E46:F46"/>
    <mergeCell ref="E34:F34"/>
    <mergeCell ref="B16:C16"/>
    <mergeCell ref="B34:C34"/>
  </mergeCells>
  <phoneticPr fontId="7" type="noConversion"/>
  <printOptions horizontalCentered="1"/>
  <pageMargins left="0.70000000000000007" right="0.70000000000000007" top="0.36000000000000004" bottom="0.36000000000000004" header="0.30000000000000004" footer="0.30000000000000004"/>
  <pageSetup paperSize="9" scale="84" orientation="portrait" horizontalDpi="0" verticalDpi="0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51"/>
  <sheetViews>
    <sheetView zoomScale="102" workbookViewId="0">
      <selection activeCell="B6" sqref="B6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7.83203125" style="1" bestFit="1" customWidth="1"/>
    <col min="4" max="4" width="10.83203125" style="1"/>
    <col min="5" max="5" width="24.6640625" style="1" bestFit="1" customWidth="1"/>
    <col min="6" max="6" width="12.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66</v>
      </c>
      <c r="B1" s="104"/>
      <c r="C1" s="104"/>
      <c r="D1" s="104"/>
      <c r="E1" s="104"/>
      <c r="F1" s="104"/>
      <c r="G1" s="104"/>
    </row>
    <row r="4" spans="1:7" x14ac:dyDescent="0.2">
      <c r="B4" s="1" t="s">
        <v>77</v>
      </c>
      <c r="C4" s="18">
        <v>4000</v>
      </c>
      <c r="D4" s="1" t="s">
        <v>84</v>
      </c>
    </row>
    <row r="5" spans="1:7" x14ac:dyDescent="0.2">
      <c r="B5" s="17" t="s">
        <v>78</v>
      </c>
      <c r="C5" s="19">
        <v>10</v>
      </c>
      <c r="D5" s="1" t="s">
        <v>42</v>
      </c>
    </row>
    <row r="6" spans="1:7" x14ac:dyDescent="0.2">
      <c r="B6" s="17" t="s">
        <v>152</v>
      </c>
      <c r="C6" s="19"/>
    </row>
    <row r="7" spans="1:7" ht="20" x14ac:dyDescent="0.2">
      <c r="B7" s="20" t="s">
        <v>49</v>
      </c>
      <c r="C7" s="5">
        <v>5000</v>
      </c>
      <c r="D7" s="29" t="s">
        <v>50</v>
      </c>
      <c r="E7" s="16"/>
      <c r="F7" s="16"/>
    </row>
    <row r="8" spans="1:7" ht="20" x14ac:dyDescent="0.2">
      <c r="B8" s="20" t="s">
        <v>24</v>
      </c>
      <c r="C8" s="21">
        <v>0.5</v>
      </c>
      <c r="D8" s="16"/>
      <c r="E8" s="16"/>
      <c r="F8" s="16"/>
    </row>
    <row r="9" spans="1:7" ht="20" x14ac:dyDescent="0.2">
      <c r="B9" s="20" t="s">
        <v>43</v>
      </c>
      <c r="C9" s="5">
        <v>1000</v>
      </c>
      <c r="D9" s="16"/>
      <c r="E9" s="16"/>
      <c r="F9" s="16"/>
    </row>
    <row r="10" spans="1:7" x14ac:dyDescent="0.2">
      <c r="B10" s="20" t="s">
        <v>54</v>
      </c>
      <c r="C10" s="5">
        <v>300</v>
      </c>
      <c r="D10" s="16"/>
      <c r="E10" s="16"/>
      <c r="F10" s="16"/>
    </row>
    <row r="11" spans="1:7" x14ac:dyDescent="0.2">
      <c r="B11" s="17" t="s">
        <v>64</v>
      </c>
      <c r="C11" s="30">
        <v>3</v>
      </c>
      <c r="D11" s="29" t="s">
        <v>65</v>
      </c>
      <c r="E11" s="16"/>
      <c r="F11" s="16"/>
    </row>
    <row r="12" spans="1:7" x14ac:dyDescent="0.2">
      <c r="B12" s="17"/>
      <c r="C12" s="30"/>
      <c r="D12" s="29"/>
      <c r="E12" s="16"/>
      <c r="F12" s="16"/>
    </row>
    <row r="13" spans="1:7" x14ac:dyDescent="0.2">
      <c r="B13" s="20"/>
      <c r="C13" s="21"/>
      <c r="D13" s="16"/>
      <c r="E13" s="16"/>
      <c r="F13" s="16"/>
    </row>
    <row r="14" spans="1:7" x14ac:dyDescent="0.2">
      <c r="B14" s="106" t="s">
        <v>7</v>
      </c>
      <c r="C14" s="106"/>
      <c r="D14" s="16"/>
      <c r="E14" s="16"/>
      <c r="F14" s="16"/>
    </row>
    <row r="15" spans="1:7" ht="6" customHeight="1" x14ac:dyDescent="0.2">
      <c r="D15" s="16"/>
      <c r="E15" s="16"/>
      <c r="F15" s="16"/>
    </row>
    <row r="16" spans="1:7" x14ac:dyDescent="0.2">
      <c r="B16" s="9" t="s">
        <v>8</v>
      </c>
      <c r="C16" s="10"/>
      <c r="D16" s="16"/>
      <c r="E16" s="16"/>
      <c r="F16" s="16"/>
    </row>
    <row r="17" spans="2:6" ht="6" customHeight="1" x14ac:dyDescent="0.2">
      <c r="D17" s="16"/>
      <c r="E17" s="16"/>
      <c r="F17" s="16"/>
    </row>
    <row r="18" spans="2:6" x14ac:dyDescent="0.2">
      <c r="B18" s="12" t="s">
        <v>9</v>
      </c>
      <c r="C18" s="13"/>
      <c r="D18" s="16"/>
      <c r="E18" s="16"/>
      <c r="F18" s="16"/>
    </row>
    <row r="19" spans="2:6" x14ac:dyDescent="0.2">
      <c r="B19" s="6" t="s">
        <v>60</v>
      </c>
      <c r="C19" s="7"/>
      <c r="D19" s="16"/>
      <c r="E19" s="16"/>
      <c r="F19" s="16"/>
    </row>
    <row r="20" spans="2:6" x14ac:dyDescent="0.2">
      <c r="B20" s="14" t="s">
        <v>36</v>
      </c>
      <c r="C20" s="15"/>
      <c r="D20" s="16"/>
      <c r="E20" s="16"/>
      <c r="F20" s="16"/>
    </row>
    <row r="21" spans="2:6" ht="6" customHeight="1" x14ac:dyDescent="0.2">
      <c r="D21" s="16"/>
      <c r="E21" s="16"/>
      <c r="F21" s="16"/>
    </row>
    <row r="22" spans="2:6" x14ac:dyDescent="0.2">
      <c r="B22" s="12" t="s">
        <v>11</v>
      </c>
      <c r="C22" s="13"/>
      <c r="D22" s="16"/>
      <c r="E22" s="16"/>
      <c r="F22" s="16"/>
    </row>
    <row r="23" spans="2:6" x14ac:dyDescent="0.2">
      <c r="B23" s="6" t="s">
        <v>67</v>
      </c>
      <c r="C23" s="7"/>
      <c r="D23" s="16"/>
      <c r="E23" s="16"/>
      <c r="F23" s="16"/>
    </row>
    <row r="24" spans="2:6" x14ac:dyDescent="0.2">
      <c r="B24" s="6" t="s">
        <v>46</v>
      </c>
      <c r="C24" s="7"/>
      <c r="D24" s="16"/>
      <c r="E24" s="16"/>
      <c r="F24" s="16"/>
    </row>
    <row r="25" spans="2:6" x14ac:dyDescent="0.2">
      <c r="B25" s="6" t="s">
        <v>30</v>
      </c>
      <c r="C25" s="7"/>
      <c r="D25" s="16"/>
      <c r="E25" s="16"/>
      <c r="F25" s="16"/>
    </row>
    <row r="26" spans="2:6" x14ac:dyDescent="0.2">
      <c r="B26" s="6" t="s">
        <v>47</v>
      </c>
      <c r="C26" s="7"/>
      <c r="D26" s="16"/>
      <c r="E26" s="16"/>
      <c r="F26" s="16"/>
    </row>
    <row r="27" spans="2:6" x14ac:dyDescent="0.2">
      <c r="B27" s="14" t="s">
        <v>61</v>
      </c>
      <c r="C27" s="15"/>
      <c r="D27" s="16"/>
      <c r="E27" s="16"/>
      <c r="F27" s="16"/>
    </row>
    <row r="28" spans="2:6" ht="6" customHeight="1" x14ac:dyDescent="0.2">
      <c r="D28" s="16"/>
      <c r="E28" s="16"/>
      <c r="F28" s="16"/>
    </row>
    <row r="29" spans="2:6" x14ac:dyDescent="0.2">
      <c r="B29" s="9" t="s">
        <v>13</v>
      </c>
      <c r="C29" s="10"/>
      <c r="D29" s="16"/>
      <c r="E29" s="16"/>
      <c r="F29" s="16"/>
    </row>
    <row r="30" spans="2:6" x14ac:dyDescent="0.2">
      <c r="B30" s="3"/>
      <c r="C30" s="5"/>
      <c r="D30" s="16"/>
      <c r="E30" s="16"/>
      <c r="F30" s="16"/>
    </row>
    <row r="31" spans="2:6" x14ac:dyDescent="0.2">
      <c r="B31" s="3"/>
      <c r="C31" s="5"/>
      <c r="D31" s="16"/>
      <c r="E31" s="16"/>
      <c r="F31" s="16"/>
    </row>
    <row r="32" spans="2:6" x14ac:dyDescent="0.2">
      <c r="B32" s="106" t="s">
        <v>21</v>
      </c>
      <c r="C32" s="106"/>
      <c r="D32" s="16"/>
      <c r="E32" s="106" t="s">
        <v>31</v>
      </c>
      <c r="F32" s="106"/>
    </row>
    <row r="33" spans="2:6" ht="6" customHeight="1" x14ac:dyDescent="0.2">
      <c r="D33" s="16"/>
    </row>
    <row r="34" spans="2:6" x14ac:dyDescent="0.2">
      <c r="B34" s="22" t="s">
        <v>26</v>
      </c>
      <c r="C34" s="26"/>
      <c r="D34" s="16"/>
      <c r="E34" s="22" t="s">
        <v>27</v>
      </c>
      <c r="F34" s="23"/>
    </row>
    <row r="35" spans="2:6" x14ac:dyDescent="0.2">
      <c r="B35" s="27" t="s">
        <v>32</v>
      </c>
      <c r="C35" s="7"/>
      <c r="D35" s="16"/>
      <c r="E35" s="14" t="s">
        <v>28</v>
      </c>
      <c r="F35" s="24"/>
    </row>
    <row r="36" spans="2:6" x14ac:dyDescent="0.2">
      <c r="B36" s="27" t="s">
        <v>48</v>
      </c>
      <c r="C36" s="7"/>
      <c r="D36" s="16"/>
      <c r="E36" s="9" t="s">
        <v>29</v>
      </c>
      <c r="F36" s="25"/>
    </row>
    <row r="37" spans="2:6" x14ac:dyDescent="0.2">
      <c r="B37" s="27" t="s">
        <v>71</v>
      </c>
      <c r="C37" s="7"/>
      <c r="D37" s="16"/>
      <c r="E37" s="16"/>
      <c r="F37" s="16"/>
    </row>
    <row r="38" spans="2:6" x14ac:dyDescent="0.2">
      <c r="B38" s="27" t="s">
        <v>70</v>
      </c>
      <c r="C38" s="7"/>
      <c r="D38" s="16"/>
      <c r="E38" s="16"/>
      <c r="F38" s="16"/>
    </row>
    <row r="39" spans="2:6" x14ac:dyDescent="0.2">
      <c r="B39" s="9" t="s">
        <v>34</v>
      </c>
      <c r="C39" s="10"/>
      <c r="D39" s="16"/>
      <c r="E39" s="16"/>
      <c r="F39" s="16"/>
    </row>
    <row r="40" spans="2:6" x14ac:dyDescent="0.2">
      <c r="B40" s="3"/>
      <c r="C40" s="5"/>
    </row>
    <row r="41" spans="2:6" x14ac:dyDescent="0.2">
      <c r="B41" s="3"/>
      <c r="C41" s="5"/>
    </row>
    <row r="42" spans="2:6" x14ac:dyDescent="0.2">
      <c r="B42" s="106" t="s">
        <v>59</v>
      </c>
      <c r="C42" s="106"/>
      <c r="D42" s="106"/>
      <c r="E42" s="106"/>
      <c r="F42" s="106"/>
    </row>
    <row r="43" spans="2:6" ht="6" customHeight="1" x14ac:dyDescent="0.2"/>
    <row r="44" spans="2:6" x14ac:dyDescent="0.2">
      <c r="B44" s="107" t="s">
        <v>18</v>
      </c>
      <c r="C44" s="108"/>
      <c r="D44" s="3"/>
      <c r="E44" s="107" t="s">
        <v>19</v>
      </c>
      <c r="F44" s="108"/>
    </row>
    <row r="45" spans="2:6" x14ac:dyDescent="0.2">
      <c r="B45" s="32" t="s">
        <v>62</v>
      </c>
      <c r="C45" s="38"/>
      <c r="D45" s="3"/>
      <c r="E45" s="34" t="s">
        <v>6</v>
      </c>
      <c r="F45" s="35"/>
    </row>
    <row r="46" spans="2:6" x14ac:dyDescent="0.2">
      <c r="B46" s="33" t="s">
        <v>57</v>
      </c>
      <c r="C46" s="38"/>
      <c r="D46" s="3"/>
      <c r="E46" s="36" t="s">
        <v>55</v>
      </c>
      <c r="F46" s="37"/>
    </row>
    <row r="47" spans="2:6" x14ac:dyDescent="0.2">
      <c r="B47" s="31" t="s">
        <v>63</v>
      </c>
      <c r="C47" s="39"/>
      <c r="D47" s="3"/>
      <c r="E47" s="36" t="s">
        <v>72</v>
      </c>
      <c r="F47" s="37"/>
    </row>
    <row r="48" spans="2:6" x14ac:dyDescent="0.2">
      <c r="B48" s="6" t="s">
        <v>4</v>
      </c>
      <c r="C48" s="7"/>
      <c r="E48" s="6" t="s">
        <v>58</v>
      </c>
      <c r="F48" s="7"/>
    </row>
    <row r="49" spans="2:6" x14ac:dyDescent="0.2">
      <c r="B49" s="6" t="s">
        <v>45</v>
      </c>
      <c r="C49" s="7"/>
      <c r="E49" s="6"/>
      <c r="F49" s="8"/>
    </row>
    <row r="50" spans="2:6" x14ac:dyDescent="0.2">
      <c r="B50" s="6" t="s">
        <v>5</v>
      </c>
      <c r="C50" s="7"/>
      <c r="E50" s="6" t="s">
        <v>69</v>
      </c>
      <c r="F50" s="15"/>
    </row>
    <row r="51" spans="2:6" x14ac:dyDescent="0.2">
      <c r="B51" s="9" t="s">
        <v>16</v>
      </c>
      <c r="C51" s="10"/>
      <c r="D51" s="3"/>
      <c r="E51" s="9" t="s">
        <v>17</v>
      </c>
      <c r="F51" s="10"/>
    </row>
  </sheetData>
  <mergeCells count="7">
    <mergeCell ref="B44:C44"/>
    <mergeCell ref="E44:F44"/>
    <mergeCell ref="A1:G1"/>
    <mergeCell ref="B14:C14"/>
    <mergeCell ref="B32:C32"/>
    <mergeCell ref="E32:F32"/>
    <mergeCell ref="B42:F42"/>
  </mergeCells>
  <phoneticPr fontId="7" type="noConversion"/>
  <printOptions horizontalCentered="1"/>
  <pageMargins left="0.70000000000000007" right="0.70000000000000007" top="0.36000000000000004" bottom="0.36000000000000004" header="0.30000000000000004" footer="0.30000000000000004"/>
  <pageSetup paperSize="9" scale="84" orientation="portrait" horizontalDpi="0" verticalDpi="0" copies="15"/>
  <rowBreaks count="1" manualBreakCount="1">
    <brk id="51" max="16383" man="1"/>
  </rowBreaks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51"/>
  <sheetViews>
    <sheetView topLeftCell="A41" zoomScale="150" workbookViewId="0">
      <selection activeCell="B6" sqref="B6"/>
    </sheetView>
  </sheetViews>
  <sheetFormatPr baseColWidth="10" defaultRowHeight="19" x14ac:dyDescent="0.2"/>
  <cols>
    <col min="1" max="1" width="3.6640625" style="1" customWidth="1"/>
    <col min="2" max="2" width="24.6640625" style="1" bestFit="1" customWidth="1"/>
    <col min="3" max="3" width="18" style="1" bestFit="1" customWidth="1"/>
    <col min="4" max="4" width="10.83203125" style="1"/>
    <col min="5" max="5" width="24.6640625" style="1" bestFit="1" customWidth="1"/>
    <col min="6" max="6" width="12.83203125" style="1" bestFit="1" customWidth="1"/>
    <col min="7" max="7" width="3.6640625" style="1" customWidth="1"/>
    <col min="8" max="16384" width="10.83203125" style="1"/>
  </cols>
  <sheetData>
    <row r="1" spans="1:7" ht="24" x14ac:dyDescent="0.2">
      <c r="A1" s="104" t="s">
        <v>66</v>
      </c>
      <c r="B1" s="104"/>
      <c r="C1" s="104"/>
      <c r="D1" s="104"/>
      <c r="E1" s="104"/>
      <c r="F1" s="104"/>
      <c r="G1" s="104"/>
    </row>
    <row r="4" spans="1:7" x14ac:dyDescent="0.2">
      <c r="B4" s="1" t="s">
        <v>77</v>
      </c>
      <c r="C4" s="18">
        <v>4000</v>
      </c>
      <c r="D4" s="1" t="s">
        <v>84</v>
      </c>
    </row>
    <row r="5" spans="1:7" x14ac:dyDescent="0.2">
      <c r="B5" s="17" t="s">
        <v>78</v>
      </c>
      <c r="C5" s="19">
        <v>10</v>
      </c>
      <c r="D5" s="1" t="s">
        <v>42</v>
      </c>
    </row>
    <row r="6" spans="1:7" x14ac:dyDescent="0.2">
      <c r="B6" s="17" t="s">
        <v>152</v>
      </c>
      <c r="C6" s="19"/>
    </row>
    <row r="7" spans="1:7" ht="20" x14ac:dyDescent="0.2">
      <c r="B7" s="20" t="s">
        <v>49</v>
      </c>
      <c r="C7" s="5">
        <v>5000</v>
      </c>
      <c r="D7" s="29" t="s">
        <v>50</v>
      </c>
      <c r="E7" s="16"/>
      <c r="F7" s="16"/>
    </row>
    <row r="8" spans="1:7" ht="20" x14ac:dyDescent="0.2">
      <c r="B8" s="20" t="s">
        <v>24</v>
      </c>
      <c r="C8" s="21">
        <v>0.5</v>
      </c>
      <c r="D8" s="16"/>
      <c r="E8" s="16"/>
      <c r="F8" s="16"/>
    </row>
    <row r="9" spans="1:7" ht="20" x14ac:dyDescent="0.2">
      <c r="B9" s="20" t="s">
        <v>43</v>
      </c>
      <c r="C9" s="5">
        <v>1000</v>
      </c>
      <c r="D9" s="16"/>
      <c r="E9" s="16"/>
      <c r="F9" s="16"/>
    </row>
    <row r="10" spans="1:7" x14ac:dyDescent="0.2">
      <c r="B10" s="20" t="s">
        <v>54</v>
      </c>
      <c r="C10" s="5">
        <v>300</v>
      </c>
      <c r="D10" s="16"/>
      <c r="E10" s="16"/>
      <c r="F10" s="16"/>
    </row>
    <row r="11" spans="1:7" x14ac:dyDescent="0.2">
      <c r="B11" s="17" t="s">
        <v>64</v>
      </c>
      <c r="C11" s="30">
        <v>3</v>
      </c>
      <c r="D11" s="29" t="s">
        <v>65</v>
      </c>
      <c r="E11" s="16"/>
      <c r="F11" s="16"/>
    </row>
    <row r="12" spans="1:7" x14ac:dyDescent="0.2">
      <c r="B12" s="17"/>
      <c r="C12" s="30"/>
      <c r="D12" s="29"/>
      <c r="E12" s="16"/>
      <c r="F12" s="16"/>
    </row>
    <row r="13" spans="1:7" x14ac:dyDescent="0.2">
      <c r="B13" s="20"/>
      <c r="C13" s="21"/>
      <c r="D13" s="16"/>
      <c r="E13" s="16"/>
      <c r="F13" s="16"/>
    </row>
    <row r="14" spans="1:7" x14ac:dyDescent="0.2">
      <c r="B14" s="106" t="s">
        <v>7</v>
      </c>
      <c r="C14" s="106"/>
      <c r="D14" s="16"/>
      <c r="E14" s="16"/>
      <c r="F14" s="16"/>
    </row>
    <row r="15" spans="1:7" ht="6" customHeight="1" x14ac:dyDescent="0.2">
      <c r="D15" s="16"/>
      <c r="E15" s="16"/>
      <c r="F15" s="16"/>
    </row>
    <row r="16" spans="1:7" x14ac:dyDescent="0.2">
      <c r="B16" s="9" t="s">
        <v>8</v>
      </c>
      <c r="C16" s="10">
        <f>Mars!C52</f>
        <v>10700</v>
      </c>
      <c r="D16" s="16"/>
      <c r="E16" s="16"/>
      <c r="F16" s="16"/>
    </row>
    <row r="17" spans="2:6" ht="6" customHeight="1" x14ac:dyDescent="0.2">
      <c r="D17" s="16"/>
      <c r="E17" s="16"/>
      <c r="F17" s="16"/>
    </row>
    <row r="18" spans="2:6" x14ac:dyDescent="0.2">
      <c r="B18" s="12" t="s">
        <v>9</v>
      </c>
      <c r="C18" s="13"/>
      <c r="D18" s="16"/>
      <c r="E18" s="16"/>
      <c r="F18" s="16"/>
    </row>
    <row r="19" spans="2:6" x14ac:dyDescent="0.2">
      <c r="B19" s="6" t="s">
        <v>60</v>
      </c>
      <c r="C19" s="7">
        <f>Mars!C51</f>
        <v>20000</v>
      </c>
      <c r="D19" s="16"/>
      <c r="E19" s="16"/>
      <c r="F19" s="16"/>
    </row>
    <row r="20" spans="2:6" x14ac:dyDescent="0.2">
      <c r="B20" s="14" t="s">
        <v>36</v>
      </c>
      <c r="C20" s="15">
        <v>0</v>
      </c>
      <c r="D20" s="16"/>
      <c r="E20" s="16"/>
      <c r="F20" s="16"/>
    </row>
    <row r="21" spans="2:6" ht="6" customHeight="1" x14ac:dyDescent="0.2">
      <c r="D21" s="16"/>
      <c r="E21" s="16"/>
      <c r="F21" s="16"/>
    </row>
    <row r="22" spans="2:6" x14ac:dyDescent="0.2">
      <c r="B22" s="12" t="s">
        <v>11</v>
      </c>
      <c r="C22" s="13"/>
      <c r="D22" s="16"/>
      <c r="E22" s="16"/>
      <c r="F22" s="16"/>
    </row>
    <row r="23" spans="2:6" x14ac:dyDescent="0.2">
      <c r="B23" s="6" t="s">
        <v>67</v>
      </c>
      <c r="C23" s="7">
        <f>Mars!F52</f>
        <v>18000</v>
      </c>
      <c r="D23" s="16"/>
      <c r="E23" s="16"/>
      <c r="F23" s="16"/>
    </row>
    <row r="24" spans="2:6" x14ac:dyDescent="0.2">
      <c r="B24" s="6" t="s">
        <v>46</v>
      </c>
      <c r="C24" s="7">
        <f>C7</f>
        <v>5000</v>
      </c>
      <c r="D24" s="16"/>
      <c r="E24" s="16"/>
      <c r="F24" s="16"/>
    </row>
    <row r="25" spans="2:6" x14ac:dyDescent="0.2">
      <c r="B25" s="6" t="s">
        <v>30</v>
      </c>
      <c r="C25" s="7">
        <f>C8*C4</f>
        <v>2000</v>
      </c>
      <c r="D25" s="16"/>
      <c r="E25" s="16"/>
      <c r="F25" s="16"/>
    </row>
    <row r="26" spans="2:6" x14ac:dyDescent="0.2">
      <c r="B26" s="6" t="s">
        <v>47</v>
      </c>
      <c r="C26" s="7">
        <f>C9</f>
        <v>1000</v>
      </c>
      <c r="D26" s="16"/>
      <c r="E26" s="16"/>
      <c r="F26" s="16"/>
    </row>
    <row r="27" spans="2:6" x14ac:dyDescent="0.2">
      <c r="B27" s="14" t="s">
        <v>61</v>
      </c>
      <c r="C27" s="15">
        <f>C10</f>
        <v>300</v>
      </c>
      <c r="D27" s="16"/>
      <c r="E27" s="16"/>
      <c r="F27" s="16"/>
    </row>
    <row r="28" spans="2:6" ht="6" customHeight="1" x14ac:dyDescent="0.2">
      <c r="D28" s="16"/>
      <c r="E28" s="16"/>
      <c r="F28" s="16"/>
    </row>
    <row r="29" spans="2:6" x14ac:dyDescent="0.2">
      <c r="B29" s="9" t="s">
        <v>13</v>
      </c>
      <c r="C29" s="10">
        <f>C16+SUM(C18:C20)-SUM(C22:C27)</f>
        <v>4400</v>
      </c>
      <c r="D29" s="16"/>
      <c r="E29" s="16"/>
      <c r="F29" s="16"/>
    </row>
    <row r="30" spans="2:6" x14ac:dyDescent="0.2">
      <c r="B30" s="3"/>
      <c r="C30" s="5"/>
      <c r="D30" s="16"/>
      <c r="E30" s="16"/>
      <c r="F30" s="16"/>
    </row>
    <row r="31" spans="2:6" x14ac:dyDescent="0.2">
      <c r="B31" s="3"/>
      <c r="C31" s="5"/>
      <c r="D31" s="16"/>
      <c r="E31" s="16"/>
      <c r="F31" s="16"/>
    </row>
    <row r="32" spans="2:6" x14ac:dyDescent="0.2">
      <c r="B32" s="106" t="s">
        <v>21</v>
      </c>
      <c r="C32" s="106"/>
      <c r="D32" s="16"/>
      <c r="E32" s="106" t="s">
        <v>31</v>
      </c>
      <c r="F32" s="106"/>
    </row>
    <row r="33" spans="2:10" ht="6" customHeight="1" x14ac:dyDescent="0.2">
      <c r="D33" s="16"/>
    </row>
    <row r="34" spans="2:10" x14ac:dyDescent="0.2">
      <c r="B34" s="22" t="s">
        <v>26</v>
      </c>
      <c r="C34" s="26">
        <f>SUM(C4:C4)*C5</f>
        <v>40000</v>
      </c>
      <c r="D34" s="16"/>
      <c r="E34" s="22" t="s">
        <v>27</v>
      </c>
      <c r="F34" s="23">
        <f>Mars!F36</f>
        <v>1.5</v>
      </c>
      <c r="H34" s="1" t="s">
        <v>148</v>
      </c>
      <c r="J34" s="74">
        <f>C39/C34</f>
        <v>0.74250000000000005</v>
      </c>
    </row>
    <row r="35" spans="2:10" x14ac:dyDescent="0.2">
      <c r="B35" s="27" t="s">
        <v>32</v>
      </c>
      <c r="C35" s="7">
        <f>-F36*SUM(C4:C4)</f>
        <v>-8000</v>
      </c>
      <c r="D35" s="16"/>
      <c r="E35" s="14" t="s">
        <v>28</v>
      </c>
      <c r="F35" s="24">
        <f>C8</f>
        <v>0.5</v>
      </c>
    </row>
    <row r="36" spans="2:10" x14ac:dyDescent="0.2">
      <c r="B36" s="27" t="s">
        <v>48</v>
      </c>
      <c r="C36" s="7">
        <f>-C9</f>
        <v>-1000</v>
      </c>
      <c r="D36" s="16"/>
      <c r="E36" s="9" t="s">
        <v>29</v>
      </c>
      <c r="F36" s="25">
        <f>SUM(F34:F35)</f>
        <v>2</v>
      </c>
    </row>
    <row r="37" spans="2:10" x14ac:dyDescent="0.2">
      <c r="B37" s="27" t="s">
        <v>71</v>
      </c>
      <c r="C37" s="7">
        <f>-C10</f>
        <v>-300</v>
      </c>
      <c r="D37" s="16"/>
      <c r="E37" s="16"/>
      <c r="F37" s="16"/>
    </row>
    <row r="38" spans="2:10" x14ac:dyDescent="0.2">
      <c r="B38" s="27" t="s">
        <v>70</v>
      </c>
      <c r="C38" s="7">
        <f>Mars!C40</f>
        <v>-1000</v>
      </c>
      <c r="D38" s="16"/>
      <c r="E38" s="16"/>
      <c r="F38" s="16"/>
    </row>
    <row r="39" spans="2:10" x14ac:dyDescent="0.2">
      <c r="B39" s="9" t="s">
        <v>34</v>
      </c>
      <c r="C39" s="10">
        <f>SUM(C34:C38)</f>
        <v>29700</v>
      </c>
      <c r="D39" s="16"/>
      <c r="E39" s="16"/>
      <c r="F39" s="16"/>
    </row>
    <row r="40" spans="2:10" x14ac:dyDescent="0.2">
      <c r="B40" s="3"/>
      <c r="C40" s="5"/>
    </row>
    <row r="41" spans="2:10" x14ac:dyDescent="0.2">
      <c r="B41" s="3"/>
      <c r="C41" s="5"/>
    </row>
    <row r="42" spans="2:10" x14ac:dyDescent="0.2">
      <c r="B42" s="106" t="s">
        <v>59</v>
      </c>
      <c r="C42" s="106"/>
      <c r="D42" s="106"/>
      <c r="E42" s="106"/>
      <c r="F42" s="106"/>
    </row>
    <row r="43" spans="2:10" ht="6" customHeight="1" x14ac:dyDescent="0.2"/>
    <row r="44" spans="2:10" x14ac:dyDescent="0.2">
      <c r="B44" s="107" t="s">
        <v>18</v>
      </c>
      <c r="C44" s="108"/>
      <c r="D44" s="3"/>
      <c r="E44" s="107" t="s">
        <v>19</v>
      </c>
      <c r="F44" s="108"/>
    </row>
    <row r="45" spans="2:10" x14ac:dyDescent="0.2">
      <c r="B45" s="32" t="s">
        <v>62</v>
      </c>
      <c r="C45" s="38">
        <f>Mars!C47</f>
        <v>36000</v>
      </c>
      <c r="D45" s="3"/>
      <c r="E45" s="34" t="s">
        <v>6</v>
      </c>
      <c r="F45" s="35">
        <f>Fevrier!F42</f>
        <v>5000</v>
      </c>
    </row>
    <row r="46" spans="2:10" x14ac:dyDescent="0.2">
      <c r="B46" s="33" t="s">
        <v>57</v>
      </c>
      <c r="C46" s="38">
        <f>Mars!C48+Avril!C38</f>
        <v>-2000</v>
      </c>
      <c r="D46" s="3"/>
      <c r="E46" s="36" t="s">
        <v>55</v>
      </c>
      <c r="F46" s="37">
        <f>Mars!F48+Mars!F49</f>
        <v>43700</v>
      </c>
    </row>
    <row r="47" spans="2:10" x14ac:dyDescent="0.2">
      <c r="B47" s="31" t="s">
        <v>63</v>
      </c>
      <c r="C47" s="39">
        <f>SUM(C45:C46)</f>
        <v>34000</v>
      </c>
      <c r="D47" s="3"/>
      <c r="E47" s="36" t="s">
        <v>72</v>
      </c>
      <c r="F47" s="37">
        <f>C39</f>
        <v>29700</v>
      </c>
    </row>
    <row r="48" spans="2:10" x14ac:dyDescent="0.2">
      <c r="B48" s="6" t="s">
        <v>4</v>
      </c>
      <c r="C48" s="7">
        <f>Mars!C50+Avril!C7-Avril!C4*Avril!F34</f>
        <v>0</v>
      </c>
      <c r="E48" s="6" t="s">
        <v>58</v>
      </c>
      <c r="F48" s="7">
        <f>SUM(F45:F47)</f>
        <v>78400</v>
      </c>
    </row>
    <row r="49" spans="2:6" x14ac:dyDescent="0.2">
      <c r="B49" s="6" t="s">
        <v>45</v>
      </c>
      <c r="C49" s="7">
        <f>C4*C5</f>
        <v>40000</v>
      </c>
      <c r="E49" s="6"/>
      <c r="F49" s="8"/>
    </row>
    <row r="50" spans="2:6" x14ac:dyDescent="0.2">
      <c r="B50" s="6" t="s">
        <v>5</v>
      </c>
      <c r="C50" s="7">
        <f>C29</f>
        <v>4400</v>
      </c>
      <c r="E50" s="6" t="s">
        <v>69</v>
      </c>
      <c r="F50" s="15">
        <v>0</v>
      </c>
    </row>
    <row r="51" spans="2:6" x14ac:dyDescent="0.2">
      <c r="B51" s="9" t="s">
        <v>16</v>
      </c>
      <c r="C51" s="10">
        <f>SUM(C47:C50)</f>
        <v>78400</v>
      </c>
      <c r="D51" s="3"/>
      <c r="E51" s="9" t="s">
        <v>17</v>
      </c>
      <c r="F51" s="10">
        <f>SUM(F48:F50)</f>
        <v>78400</v>
      </c>
    </row>
  </sheetData>
  <mergeCells count="7">
    <mergeCell ref="A1:G1"/>
    <mergeCell ref="B42:F42"/>
    <mergeCell ref="B44:C44"/>
    <mergeCell ref="E44:F44"/>
    <mergeCell ref="E32:F32"/>
    <mergeCell ref="B14:C14"/>
    <mergeCell ref="B32:C32"/>
  </mergeCells>
  <phoneticPr fontId="7" type="noConversion"/>
  <printOptions horizontalCentered="1"/>
  <pageMargins left="0.70000000000000007" right="0.70000000000000007" top="0.36000000000000004" bottom="0.36000000000000004" header="0.30000000000000004" footer="0.30000000000000004"/>
  <pageSetup paperSize="9" scale="84" orientation="portrait" horizontalDpi="0" verticalDpi="0"/>
  <rowBreaks count="1" manualBreakCount="1">
    <brk id="51" max="16383" man="1"/>
  </rowBreaks>
  <colBreaks count="1" manualBreakCount="1">
    <brk id="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67B1-35B8-9643-B323-D2089E6B558C}">
  <dimension ref="A1:L71"/>
  <sheetViews>
    <sheetView tabSelected="1" topLeftCell="A34" zoomScale="87" workbookViewId="0">
      <selection activeCell="I59" sqref="I59"/>
    </sheetView>
  </sheetViews>
  <sheetFormatPr baseColWidth="10" defaultRowHeight="19" x14ac:dyDescent="0.2"/>
  <cols>
    <col min="1" max="1" width="3.6640625" style="1" customWidth="1"/>
    <col min="2" max="2" width="29.6640625" style="1" customWidth="1"/>
    <col min="3" max="3" width="17.33203125" style="1" customWidth="1"/>
    <col min="4" max="4" width="4.83203125" style="1" customWidth="1"/>
    <col min="5" max="5" width="37" style="1" customWidth="1"/>
    <col min="6" max="6" width="17.5" style="1" customWidth="1"/>
    <col min="7" max="7" width="4.83203125" style="1" customWidth="1"/>
    <col min="8" max="8" width="37" style="1" customWidth="1"/>
    <col min="9" max="9" width="17.5" style="1" customWidth="1"/>
    <col min="10" max="10" width="4.83203125" style="1" customWidth="1"/>
    <col min="11" max="11" width="37" style="1" bestFit="1" customWidth="1"/>
    <col min="12" max="12" width="17.5" style="1" customWidth="1"/>
    <col min="13" max="16384" width="10.83203125" style="1"/>
  </cols>
  <sheetData>
    <row r="1" spans="1:12" s="58" customFormat="1" ht="24" x14ac:dyDescent="0.2">
      <c r="A1" s="110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4" spans="1:12" x14ac:dyDescent="0.2">
      <c r="A4" s="48" t="s">
        <v>129</v>
      </c>
      <c r="B4" s="1" t="s">
        <v>77</v>
      </c>
      <c r="C4" s="41">
        <v>5000</v>
      </c>
      <c r="D4" s="1" t="s">
        <v>82</v>
      </c>
    </row>
    <row r="5" spans="1:12" x14ac:dyDescent="0.2">
      <c r="B5" s="2" t="s">
        <v>83</v>
      </c>
      <c r="C5" s="19">
        <v>10</v>
      </c>
    </row>
    <row r="6" spans="1:12" x14ac:dyDescent="0.2">
      <c r="B6" s="42" t="s">
        <v>128</v>
      </c>
      <c r="C6" s="50">
        <v>60</v>
      </c>
    </row>
    <row r="7" spans="1:12" ht="6" customHeight="1" x14ac:dyDescent="0.2">
      <c r="B7" s="42"/>
      <c r="C7" s="50"/>
    </row>
    <row r="8" spans="1:12" x14ac:dyDescent="0.2">
      <c r="A8" s="48" t="s">
        <v>130</v>
      </c>
      <c r="B8" s="1" t="s">
        <v>81</v>
      </c>
      <c r="C8" s="40"/>
      <c r="F8" s="4"/>
      <c r="L8" s="4"/>
    </row>
    <row r="9" spans="1:12" ht="20" x14ac:dyDescent="0.2">
      <c r="B9" s="20" t="s">
        <v>85</v>
      </c>
      <c r="C9" s="52">
        <v>8000</v>
      </c>
      <c r="D9" s="29" t="s">
        <v>126</v>
      </c>
      <c r="E9" s="16"/>
      <c r="F9" s="16"/>
      <c r="K9" s="16"/>
      <c r="L9" s="16"/>
    </row>
    <row r="10" spans="1:12" ht="6" customHeight="1" x14ac:dyDescent="0.2">
      <c r="B10" s="42"/>
      <c r="C10" s="50"/>
    </row>
    <row r="11" spans="1:12" x14ac:dyDescent="0.2">
      <c r="A11" s="48" t="s">
        <v>131</v>
      </c>
      <c r="B11" s="17" t="s">
        <v>127</v>
      </c>
      <c r="C11" s="19"/>
    </row>
    <row r="12" spans="1:12" ht="20" x14ac:dyDescent="0.2">
      <c r="B12" s="20" t="s">
        <v>86</v>
      </c>
      <c r="C12" s="21">
        <v>1.5</v>
      </c>
      <c r="E12" s="16"/>
      <c r="F12" s="16"/>
      <c r="K12" s="16"/>
      <c r="L12" s="16"/>
    </row>
    <row r="13" spans="1:12" ht="20" x14ac:dyDescent="0.2">
      <c r="B13" s="20" t="s">
        <v>87</v>
      </c>
      <c r="C13" s="21">
        <v>0.5</v>
      </c>
      <c r="D13" s="16"/>
      <c r="E13" s="16"/>
      <c r="F13" s="16"/>
      <c r="K13" s="16"/>
      <c r="L13" s="16"/>
    </row>
    <row r="14" spans="1:12" ht="20" x14ac:dyDescent="0.2">
      <c r="B14" s="20" t="s">
        <v>96</v>
      </c>
      <c r="C14" s="5">
        <v>1000</v>
      </c>
      <c r="D14" s="16"/>
      <c r="E14" s="16"/>
      <c r="F14" s="16"/>
      <c r="K14" s="16"/>
      <c r="L14" s="16"/>
    </row>
    <row r="15" spans="1:12" ht="20" x14ac:dyDescent="0.2">
      <c r="B15" s="20" t="s">
        <v>88</v>
      </c>
      <c r="C15" s="5">
        <v>300</v>
      </c>
      <c r="D15" s="16"/>
      <c r="E15" s="16"/>
      <c r="F15" s="16"/>
      <c r="K15" s="16"/>
      <c r="L15" s="16"/>
    </row>
    <row r="16" spans="1:12" ht="6" customHeight="1" x14ac:dyDescent="0.2">
      <c r="B16" s="42"/>
      <c r="C16" s="50"/>
    </row>
    <row r="17" spans="1:12" ht="19" customHeight="1" x14ac:dyDescent="0.2">
      <c r="A17" s="48" t="s">
        <v>132</v>
      </c>
      <c r="B17" s="113" t="s">
        <v>89</v>
      </c>
      <c r="C17" s="113"/>
      <c r="D17" s="113"/>
      <c r="E17" s="113"/>
      <c r="F17" s="113"/>
    </row>
    <row r="18" spans="1:12" ht="19" customHeight="1" x14ac:dyDescent="0.2">
      <c r="B18" s="20" t="s">
        <v>90</v>
      </c>
      <c r="C18" s="52">
        <v>20000</v>
      </c>
      <c r="D18" s="105" t="s">
        <v>91</v>
      </c>
      <c r="E18" s="105"/>
      <c r="F18" s="16"/>
      <c r="L18" s="16"/>
    </row>
    <row r="19" spans="1:12" ht="19" customHeight="1" x14ac:dyDescent="0.2">
      <c r="B19" s="20" t="s">
        <v>92</v>
      </c>
      <c r="C19" s="43">
        <v>0.01</v>
      </c>
      <c r="D19" s="105" t="s">
        <v>93</v>
      </c>
      <c r="E19" s="105"/>
      <c r="F19" s="16"/>
      <c r="L19" s="16"/>
    </row>
    <row r="20" spans="1:12" ht="6" customHeight="1" x14ac:dyDescent="0.2">
      <c r="B20" s="42"/>
      <c r="C20" s="50"/>
    </row>
    <row r="21" spans="1:12" x14ac:dyDescent="0.2">
      <c r="A21" s="48" t="s">
        <v>133</v>
      </c>
      <c r="B21" s="113" t="s">
        <v>94</v>
      </c>
      <c r="C21" s="113"/>
      <c r="D21" s="113"/>
      <c r="E21" s="113"/>
      <c r="F21" s="113"/>
    </row>
    <row r="22" spans="1:12" ht="20" x14ac:dyDescent="0.2">
      <c r="B22" s="20" t="s">
        <v>95</v>
      </c>
      <c r="C22" s="44">
        <f>1/3</f>
        <v>0.33333333333333331</v>
      </c>
      <c r="D22" s="29"/>
      <c r="E22" s="16"/>
      <c r="F22" s="16"/>
      <c r="K22" s="16"/>
      <c r="L22" s="16"/>
    </row>
    <row r="23" spans="1:12" x14ac:dyDescent="0.2">
      <c r="B23" s="20"/>
      <c r="C23" s="44"/>
      <c r="D23" s="29"/>
      <c r="E23" s="16"/>
      <c r="F23" s="16"/>
      <c r="K23" s="16"/>
      <c r="L23" s="16"/>
    </row>
    <row r="24" spans="1:12" x14ac:dyDescent="0.2">
      <c r="B24" s="114" t="s">
        <v>97</v>
      </c>
      <c r="C24" s="115"/>
      <c r="D24" s="16"/>
      <c r="E24" s="116" t="s">
        <v>21</v>
      </c>
      <c r="F24" s="117"/>
      <c r="H24" s="112" t="s">
        <v>59</v>
      </c>
      <c r="I24" s="112"/>
      <c r="K24" s="111" t="s">
        <v>7</v>
      </c>
      <c r="L24" s="111"/>
    </row>
    <row r="25" spans="1:12" ht="19" customHeight="1" x14ac:dyDescent="0.2">
      <c r="D25" s="16"/>
    </row>
    <row r="26" spans="1:12" ht="19" customHeight="1" x14ac:dyDescent="0.2">
      <c r="B26" s="22" t="s">
        <v>27</v>
      </c>
      <c r="C26" s="23">
        <f>C12</f>
        <v>1.5</v>
      </c>
      <c r="D26" s="16"/>
      <c r="E26" s="22" t="s">
        <v>26</v>
      </c>
      <c r="F26" s="53">
        <f>C4*C5</f>
        <v>50000</v>
      </c>
      <c r="H26" s="107" t="s">
        <v>18</v>
      </c>
      <c r="I26" s="108"/>
      <c r="K26" s="9" t="s">
        <v>8</v>
      </c>
      <c r="L26" s="55">
        <f>Avril!C50</f>
        <v>4400</v>
      </c>
    </row>
    <row r="27" spans="1:12" ht="19" customHeight="1" x14ac:dyDescent="0.2">
      <c r="B27" s="14" t="s">
        <v>28</v>
      </c>
      <c r="C27" s="24">
        <f>C13</f>
        <v>0.5</v>
      </c>
      <c r="E27" s="27" t="s">
        <v>32</v>
      </c>
      <c r="F27" s="54">
        <f>-C4*C28</f>
        <v>-10000</v>
      </c>
      <c r="H27" s="47" t="s">
        <v>116</v>
      </c>
      <c r="I27" s="68">
        <f>Avril!C45</f>
        <v>36000</v>
      </c>
      <c r="L27" s="45"/>
    </row>
    <row r="28" spans="1:12" ht="19" customHeight="1" x14ac:dyDescent="0.2">
      <c r="B28" s="9" t="s">
        <v>29</v>
      </c>
      <c r="C28" s="25">
        <f>SUM(C26:C27)</f>
        <v>2</v>
      </c>
      <c r="D28" s="16"/>
      <c r="E28" s="51" t="s">
        <v>102</v>
      </c>
      <c r="F28" s="56">
        <f>SUM(F26:F27)</f>
        <v>40000</v>
      </c>
      <c r="H28" s="33" t="s">
        <v>117</v>
      </c>
      <c r="I28" s="68">
        <f>Avril!C46+F32</f>
        <v>-3000</v>
      </c>
      <c r="K28" s="22" t="s">
        <v>111</v>
      </c>
      <c r="L28" s="53">
        <f>F31</f>
        <v>38700</v>
      </c>
    </row>
    <row r="29" spans="1:12" ht="19" customHeight="1" x14ac:dyDescent="0.2">
      <c r="D29" s="16"/>
      <c r="E29" s="27" t="s">
        <v>48</v>
      </c>
      <c r="F29" s="54">
        <f>-C14</f>
        <v>-1000</v>
      </c>
      <c r="H29" s="31" t="s">
        <v>63</v>
      </c>
      <c r="I29" s="69">
        <f>I27+I28</f>
        <v>33000</v>
      </c>
      <c r="K29" s="27" t="s">
        <v>112</v>
      </c>
      <c r="L29" s="7">
        <f>-(I30-Avril!C48)</f>
        <v>-500</v>
      </c>
    </row>
    <row r="30" spans="1:12" ht="19" customHeight="1" x14ac:dyDescent="0.2">
      <c r="B30" s="3"/>
      <c r="C30" s="21"/>
      <c r="D30" s="16"/>
      <c r="E30" s="27" t="s">
        <v>71</v>
      </c>
      <c r="F30" s="7">
        <f>-C15</f>
        <v>-300</v>
      </c>
      <c r="H30" s="6" t="s">
        <v>118</v>
      </c>
      <c r="I30" s="69">
        <f>Avril!C48+C9-C12*C4</f>
        <v>500</v>
      </c>
      <c r="K30" s="27" t="s">
        <v>113</v>
      </c>
      <c r="L30" s="54">
        <f>-(I33-Avril!C49)</f>
        <v>-50000</v>
      </c>
    </row>
    <row r="31" spans="1:12" ht="19" customHeight="1" x14ac:dyDescent="0.2">
      <c r="B31" s="3"/>
      <c r="C31" s="21"/>
      <c r="D31" s="16"/>
      <c r="E31" s="51" t="s">
        <v>74</v>
      </c>
      <c r="F31" s="56">
        <f>SUM(F28:F30)</f>
        <v>38700</v>
      </c>
      <c r="H31" s="36" t="s">
        <v>119</v>
      </c>
      <c r="I31" s="68">
        <f>Avril!C49</f>
        <v>40000</v>
      </c>
      <c r="K31" s="27" t="s">
        <v>114</v>
      </c>
      <c r="L31" s="54">
        <f>I44-Avril!F50</f>
        <v>4000</v>
      </c>
    </row>
    <row r="32" spans="1:12" ht="19" customHeight="1" x14ac:dyDescent="0.2">
      <c r="B32" s="3"/>
      <c r="C32" s="21"/>
      <c r="D32" s="16"/>
      <c r="E32" s="27" t="s">
        <v>70</v>
      </c>
      <c r="F32" s="54">
        <f>Avril!C38</f>
        <v>-1000</v>
      </c>
      <c r="H32" s="36" t="s">
        <v>120</v>
      </c>
      <c r="I32" s="68">
        <f>F26</f>
        <v>50000</v>
      </c>
      <c r="K32" s="27" t="s">
        <v>115</v>
      </c>
      <c r="L32" s="54">
        <f>F36</f>
        <v>-12500</v>
      </c>
    </row>
    <row r="33" spans="2:12" ht="19" customHeight="1" x14ac:dyDescent="0.2">
      <c r="B33" s="3"/>
      <c r="C33" s="21"/>
      <c r="D33" s="16"/>
      <c r="E33" s="51" t="s">
        <v>103</v>
      </c>
      <c r="F33" s="56">
        <f>SUM(F31:F32)</f>
        <v>37700</v>
      </c>
      <c r="H33" s="6" t="s">
        <v>121</v>
      </c>
      <c r="I33" s="69">
        <f>I31+I32</f>
        <v>90000</v>
      </c>
      <c r="K33" s="46" t="s">
        <v>106</v>
      </c>
      <c r="L33" s="57">
        <f>SUM(L28:L32)</f>
        <v>-20300</v>
      </c>
    </row>
    <row r="34" spans="2:12" ht="19" customHeight="1" x14ac:dyDescent="0.2">
      <c r="D34" s="16"/>
      <c r="E34" s="27" t="s">
        <v>98</v>
      </c>
      <c r="F34" s="7">
        <f>-C18*C19</f>
        <v>-200</v>
      </c>
      <c r="H34" s="6" t="s">
        <v>5</v>
      </c>
      <c r="I34" s="69">
        <f>L43</f>
        <v>3900</v>
      </c>
    </row>
    <row r="35" spans="2:12" ht="19" customHeight="1" x14ac:dyDescent="0.25">
      <c r="B35" s="79"/>
      <c r="C35" s="79"/>
      <c r="D35" s="16"/>
      <c r="E35" s="51" t="s">
        <v>99</v>
      </c>
      <c r="F35" s="56">
        <f>SUM(F33:F34)</f>
        <v>37500</v>
      </c>
      <c r="H35" s="9" t="s">
        <v>16</v>
      </c>
      <c r="I35" s="70">
        <f>I29+I30+I33+I34</f>
        <v>127400</v>
      </c>
      <c r="K35" s="9" t="s">
        <v>107</v>
      </c>
      <c r="L35" s="10">
        <v>0</v>
      </c>
    </row>
    <row r="36" spans="2:12" ht="19" customHeight="1" x14ac:dyDescent="0.2">
      <c r="E36" s="27" t="s">
        <v>100</v>
      </c>
      <c r="F36" s="54">
        <f>-C22*F35</f>
        <v>-12500</v>
      </c>
    </row>
    <row r="37" spans="2:12" ht="19" customHeight="1" x14ac:dyDescent="0.2">
      <c r="D37" s="16"/>
      <c r="E37" s="9" t="s">
        <v>101</v>
      </c>
      <c r="F37" s="55">
        <f>SUM(F35:F36)</f>
        <v>25000</v>
      </c>
      <c r="K37" s="22" t="s">
        <v>104</v>
      </c>
      <c r="L37" s="53">
        <f>C18</f>
        <v>20000</v>
      </c>
    </row>
    <row r="38" spans="2:12" ht="19" customHeight="1" x14ac:dyDescent="0.2">
      <c r="H38" s="107" t="s">
        <v>19</v>
      </c>
      <c r="I38" s="108"/>
      <c r="K38" s="6" t="s">
        <v>105</v>
      </c>
      <c r="L38" s="7">
        <f>F34</f>
        <v>-200</v>
      </c>
    </row>
    <row r="39" spans="2:12" ht="19" customHeight="1" x14ac:dyDescent="0.2">
      <c r="D39" s="16"/>
      <c r="E39" s="49" t="s">
        <v>75</v>
      </c>
      <c r="H39" s="34" t="s">
        <v>10</v>
      </c>
      <c r="I39" s="71">
        <f>Avril!F45</f>
        <v>5000</v>
      </c>
      <c r="J39" s="16"/>
      <c r="K39" s="46" t="s">
        <v>108</v>
      </c>
      <c r="L39" s="57">
        <f>SUM(L37:L38)</f>
        <v>19800</v>
      </c>
    </row>
    <row r="40" spans="2:12" ht="19" customHeight="1" x14ac:dyDescent="0.2">
      <c r="D40" s="16"/>
      <c r="E40" s="49" t="s">
        <v>76</v>
      </c>
      <c r="H40" s="36" t="s">
        <v>122</v>
      </c>
      <c r="I40" s="71">
        <f>Avril!F46+Avril!F47</f>
        <v>73400</v>
      </c>
      <c r="J40" s="16"/>
    </row>
    <row r="41" spans="2:12" ht="19" customHeight="1" x14ac:dyDescent="0.2">
      <c r="D41" s="16"/>
      <c r="H41" s="36" t="s">
        <v>123</v>
      </c>
      <c r="I41" s="71">
        <f>F37</f>
        <v>25000</v>
      </c>
      <c r="J41" s="16"/>
      <c r="K41" s="9" t="s">
        <v>109</v>
      </c>
      <c r="L41" s="10">
        <f>L33+L35+L39</f>
        <v>-500</v>
      </c>
    </row>
    <row r="42" spans="2:12" ht="19" customHeight="1" x14ac:dyDescent="0.2">
      <c r="D42" s="16"/>
      <c r="F42" s="16"/>
      <c r="H42" s="6" t="s">
        <v>58</v>
      </c>
      <c r="I42" s="72">
        <f>SUM(I39:I41)</f>
        <v>103400</v>
      </c>
      <c r="J42" s="16"/>
    </row>
    <row r="43" spans="2:12" ht="19" customHeight="1" x14ac:dyDescent="0.2">
      <c r="D43" s="16"/>
      <c r="F43" s="16"/>
      <c r="H43" s="6" t="s">
        <v>124</v>
      </c>
      <c r="I43" s="72">
        <f>C18</f>
        <v>20000</v>
      </c>
      <c r="J43" s="16"/>
      <c r="K43" s="9" t="s">
        <v>13</v>
      </c>
      <c r="L43" s="55">
        <f>L26+L41</f>
        <v>3900</v>
      </c>
    </row>
    <row r="44" spans="2:12" ht="19" customHeight="1" x14ac:dyDescent="0.2">
      <c r="D44" s="16"/>
      <c r="F44" s="16"/>
      <c r="H44" s="14" t="s">
        <v>125</v>
      </c>
      <c r="I44" s="72">
        <f>C9/2</f>
        <v>4000</v>
      </c>
      <c r="J44" s="16"/>
    </row>
    <row r="45" spans="2:12" ht="19" customHeight="1" x14ac:dyDescent="0.2">
      <c r="D45" s="16"/>
      <c r="F45" s="16"/>
      <c r="H45" s="9" t="s">
        <v>17</v>
      </c>
      <c r="I45" s="73">
        <f>I42+I43+I44</f>
        <v>127400</v>
      </c>
      <c r="J45" s="16"/>
    </row>
    <row r="46" spans="2:12" ht="19" customHeight="1" x14ac:dyDescent="0.2">
      <c r="D46" s="16"/>
      <c r="E46" s="16"/>
      <c r="F46" s="16"/>
      <c r="J46" s="16"/>
    </row>
    <row r="47" spans="2:12" ht="19" customHeight="1" x14ac:dyDescent="0.2">
      <c r="D47" s="16"/>
      <c r="E47" s="16"/>
      <c r="F47" s="16"/>
      <c r="J47" s="16"/>
    </row>
    <row r="48" spans="2:12" ht="19" customHeight="1" x14ac:dyDescent="0.2">
      <c r="D48" s="16"/>
      <c r="E48" s="16"/>
      <c r="F48" s="16"/>
      <c r="J48" s="16"/>
    </row>
    <row r="49" spans="2:12" ht="19" customHeight="1" x14ac:dyDescent="0.25">
      <c r="D49" s="16"/>
      <c r="E49" s="75" t="s">
        <v>135</v>
      </c>
      <c r="F49" s="76">
        <f>F33/F26</f>
        <v>0.754</v>
      </c>
      <c r="H49" s="81" t="s">
        <v>153</v>
      </c>
      <c r="I49" s="82"/>
      <c r="J49" s="16"/>
      <c r="K49" s="1" t="s">
        <v>162</v>
      </c>
      <c r="L49" s="90">
        <f>F33*(1-C22)</f>
        <v>25133.333333333336</v>
      </c>
    </row>
    <row r="50" spans="2:12" ht="19" customHeight="1" x14ac:dyDescent="0.25">
      <c r="D50" s="16"/>
      <c r="E50" s="16"/>
      <c r="F50" s="16"/>
      <c r="H50" s="79" t="str">
        <f>H29</f>
        <v>Valeur nette du camion</v>
      </c>
      <c r="I50" s="83">
        <f>I29</f>
        <v>33000</v>
      </c>
      <c r="J50" s="16"/>
      <c r="K50" s="89" t="s">
        <v>159</v>
      </c>
      <c r="L50" s="90">
        <f>-F32</f>
        <v>1000</v>
      </c>
    </row>
    <row r="51" spans="2:12" ht="19" customHeight="1" x14ac:dyDescent="0.25">
      <c r="D51" s="16"/>
      <c r="E51" s="16"/>
      <c r="F51" s="16"/>
      <c r="H51" s="84" t="s">
        <v>155</v>
      </c>
      <c r="I51" s="83">
        <f>I30</f>
        <v>500</v>
      </c>
      <c r="J51" s="16"/>
      <c r="K51" s="89" t="s">
        <v>160</v>
      </c>
      <c r="L51" s="91">
        <f>-(I54-(Avril!C48+Avril!C49-Avril!F50))</f>
        <v>-46500</v>
      </c>
    </row>
    <row r="52" spans="2:12" ht="19" customHeight="1" x14ac:dyDescent="0.25">
      <c r="D52" s="16"/>
      <c r="E52" s="16"/>
      <c r="F52" s="16"/>
      <c r="H52" s="85" t="s">
        <v>163</v>
      </c>
      <c r="I52" s="83">
        <f>I33</f>
        <v>90000</v>
      </c>
      <c r="J52" s="16"/>
      <c r="K52" s="48" t="s">
        <v>161</v>
      </c>
      <c r="L52" s="93">
        <v>0</v>
      </c>
    </row>
    <row r="53" spans="2:12" ht="19" customHeight="1" x14ac:dyDescent="0.25">
      <c r="D53" s="16"/>
      <c r="E53" s="16"/>
      <c r="F53" s="16"/>
      <c r="H53" s="85" t="s">
        <v>154</v>
      </c>
      <c r="I53" s="92">
        <f>-I44</f>
        <v>-4000</v>
      </c>
      <c r="J53" s="16"/>
      <c r="K53" s="88" t="s">
        <v>158</v>
      </c>
      <c r="L53" s="94">
        <f>L49+L50+L51+L52</f>
        <v>-20366.666666666664</v>
      </c>
    </row>
    <row r="54" spans="2:12" ht="19" customHeight="1" x14ac:dyDescent="0.25">
      <c r="B54" s="49"/>
      <c r="D54" s="16"/>
      <c r="E54" s="16"/>
      <c r="F54" s="16"/>
      <c r="H54" s="79" t="s">
        <v>156</v>
      </c>
      <c r="I54" s="86">
        <f>SUM(I51:I53)</f>
        <v>86500</v>
      </c>
      <c r="J54" s="16"/>
    </row>
    <row r="55" spans="2:12" ht="19" customHeight="1" x14ac:dyDescent="0.25">
      <c r="B55" s="49"/>
      <c r="D55" s="16"/>
      <c r="E55" s="16"/>
      <c r="F55" s="16"/>
      <c r="H55" s="80" t="s">
        <v>157</v>
      </c>
      <c r="I55" s="87">
        <f>I50+I54</f>
        <v>119500</v>
      </c>
      <c r="J55" s="16"/>
    </row>
    <row r="56" spans="2:12" ht="19" customHeight="1" x14ac:dyDescent="0.25">
      <c r="B56" s="49"/>
      <c r="C56" s="5"/>
      <c r="D56" s="16"/>
      <c r="E56" s="16"/>
      <c r="F56" s="16"/>
      <c r="H56" s="79"/>
      <c r="I56" s="79"/>
      <c r="J56" s="16"/>
    </row>
    <row r="57" spans="2:12" ht="19" customHeight="1" x14ac:dyDescent="0.25">
      <c r="D57" s="16"/>
      <c r="E57" s="16"/>
      <c r="F57" s="16"/>
      <c r="H57" s="77" t="s">
        <v>168</v>
      </c>
      <c r="I57" s="78">
        <f>F33/I55</f>
        <v>0.31548117154811717</v>
      </c>
      <c r="J57" s="16"/>
    </row>
    <row r="58" spans="2:12" ht="10" customHeight="1" x14ac:dyDescent="0.2">
      <c r="D58" s="16"/>
      <c r="I58" s="99"/>
    </row>
    <row r="59" spans="2:12" ht="19" customHeight="1" x14ac:dyDescent="0.25">
      <c r="D59" s="16"/>
      <c r="E59" s="16"/>
      <c r="F59" s="16"/>
      <c r="H59" s="77" t="s">
        <v>169</v>
      </c>
      <c r="I59" s="78"/>
      <c r="J59" s="16"/>
    </row>
    <row r="60" spans="2:12" ht="19" customHeight="1" x14ac:dyDescent="0.2">
      <c r="B60" s="49"/>
      <c r="D60" s="16"/>
      <c r="E60" s="16"/>
      <c r="F60" s="16"/>
      <c r="J60" s="16"/>
    </row>
    <row r="61" spans="2:12" ht="19" customHeight="1" x14ac:dyDescent="0.25">
      <c r="B61" s="49"/>
      <c r="D61" s="16"/>
      <c r="H61" s="81" t="s">
        <v>164</v>
      </c>
    </row>
    <row r="62" spans="2:12" ht="10" customHeight="1" x14ac:dyDescent="0.2">
      <c r="D62" s="16"/>
      <c r="E62" s="16"/>
      <c r="F62" s="16"/>
      <c r="J62" s="16"/>
      <c r="K62" s="16"/>
      <c r="L62" s="16"/>
    </row>
    <row r="63" spans="2:12" ht="19" customHeight="1" x14ac:dyDescent="0.2">
      <c r="D63" s="16"/>
      <c r="H63" s="96" t="s">
        <v>165</v>
      </c>
      <c r="I63" s="98"/>
    </row>
    <row r="64" spans="2:12" ht="10" customHeight="1" x14ac:dyDescent="0.2">
      <c r="D64" s="16"/>
      <c r="I64" s="99"/>
    </row>
    <row r="65" spans="8:9" ht="19" customHeight="1" x14ac:dyDescent="0.2">
      <c r="H65" s="97" t="s">
        <v>166</v>
      </c>
      <c r="I65" s="100"/>
    </row>
    <row r="66" spans="8:9" ht="10" customHeight="1" x14ac:dyDescent="0.2">
      <c r="I66" s="99"/>
    </row>
    <row r="67" spans="8:9" ht="19" customHeight="1" x14ac:dyDescent="0.2">
      <c r="H67" s="95" t="s">
        <v>167</v>
      </c>
      <c r="I67" s="101"/>
    </row>
    <row r="68" spans="8:9" ht="19" customHeight="1" x14ac:dyDescent="0.2"/>
    <row r="69" spans="8:9" ht="19" customHeight="1" x14ac:dyDescent="0.2"/>
    <row r="70" spans="8:9" ht="19" customHeight="1" x14ac:dyDescent="0.2"/>
    <row r="71" spans="8:9" ht="19" customHeight="1" x14ac:dyDescent="0.2"/>
  </sheetData>
  <mergeCells count="11">
    <mergeCell ref="A1:L1"/>
    <mergeCell ref="K24:L24"/>
    <mergeCell ref="H24:I24"/>
    <mergeCell ref="H26:I26"/>
    <mergeCell ref="H38:I38"/>
    <mergeCell ref="B17:F17"/>
    <mergeCell ref="D18:E18"/>
    <mergeCell ref="D19:E19"/>
    <mergeCell ref="B21:F21"/>
    <mergeCell ref="B24:C24"/>
    <mergeCell ref="E24:F24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70FD-F708-EF46-92B0-ED8F8DAC9252}">
  <dimension ref="A1:L77"/>
  <sheetViews>
    <sheetView topLeftCell="A30" zoomScale="84" workbookViewId="0">
      <selection activeCell="K19" sqref="K19"/>
    </sheetView>
  </sheetViews>
  <sheetFormatPr baseColWidth="10" defaultRowHeight="19" x14ac:dyDescent="0.2"/>
  <cols>
    <col min="1" max="1" width="3.6640625" style="1" customWidth="1"/>
    <col min="2" max="2" width="29.6640625" style="1" customWidth="1"/>
    <col min="3" max="3" width="17.33203125" style="1" customWidth="1"/>
    <col min="4" max="4" width="4.83203125" style="1" customWidth="1"/>
    <col min="5" max="5" width="37" style="1" customWidth="1"/>
    <col min="6" max="6" width="17.5" style="1" customWidth="1"/>
    <col min="7" max="7" width="4.83203125" style="1" customWidth="1"/>
    <col min="8" max="8" width="37" style="1" customWidth="1"/>
    <col min="9" max="9" width="17.5" style="1" customWidth="1"/>
    <col min="10" max="10" width="4.83203125" style="1" customWidth="1"/>
    <col min="11" max="11" width="37" style="1" bestFit="1" customWidth="1"/>
    <col min="12" max="12" width="17.5" style="1" customWidth="1"/>
    <col min="13" max="16384" width="10.83203125" style="1"/>
  </cols>
  <sheetData>
    <row r="1" spans="1:12" s="58" customFormat="1" ht="24" x14ac:dyDescent="0.2">
      <c r="A1" s="110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4" spans="1:12" x14ac:dyDescent="0.2">
      <c r="A4" s="48" t="s">
        <v>129</v>
      </c>
      <c r="B4" s="1" t="s">
        <v>77</v>
      </c>
      <c r="C4" s="41">
        <v>5000</v>
      </c>
      <c r="D4" s="1" t="s">
        <v>82</v>
      </c>
    </row>
    <row r="5" spans="1:12" x14ac:dyDescent="0.2">
      <c r="B5" s="2" t="s">
        <v>83</v>
      </c>
      <c r="C5" s="19">
        <v>10</v>
      </c>
    </row>
    <row r="6" spans="1:12" x14ac:dyDescent="0.2">
      <c r="B6" s="42" t="s">
        <v>128</v>
      </c>
      <c r="C6" s="50">
        <v>60</v>
      </c>
    </row>
    <row r="7" spans="1:12" ht="6" customHeight="1" x14ac:dyDescent="0.2">
      <c r="B7" s="42"/>
      <c r="C7" s="50"/>
    </row>
    <row r="8" spans="1:12" x14ac:dyDescent="0.2">
      <c r="A8" s="48" t="s">
        <v>130</v>
      </c>
      <c r="B8" s="1" t="s">
        <v>81</v>
      </c>
      <c r="C8" s="40"/>
      <c r="F8" s="4"/>
      <c r="L8" s="4"/>
    </row>
    <row r="9" spans="1:12" ht="20" x14ac:dyDescent="0.2">
      <c r="B9" s="20" t="s">
        <v>85</v>
      </c>
      <c r="C9" s="52">
        <v>8000</v>
      </c>
      <c r="D9" s="29" t="s">
        <v>126</v>
      </c>
      <c r="E9" s="16"/>
      <c r="F9" s="16"/>
      <c r="K9" s="16"/>
      <c r="L9" s="16"/>
    </row>
    <row r="10" spans="1:12" ht="6" customHeight="1" x14ac:dyDescent="0.2">
      <c r="B10" s="42"/>
      <c r="C10" s="50"/>
    </row>
    <row r="11" spans="1:12" x14ac:dyDescent="0.2">
      <c r="A11" s="48" t="s">
        <v>131</v>
      </c>
      <c r="B11" s="17" t="s">
        <v>127</v>
      </c>
      <c r="C11" s="19"/>
    </row>
    <row r="12" spans="1:12" ht="20" x14ac:dyDescent="0.2">
      <c r="B12" s="20" t="s">
        <v>86</v>
      </c>
      <c r="C12" s="21">
        <v>1.5</v>
      </c>
      <c r="E12" s="16"/>
      <c r="F12" s="16"/>
      <c r="K12" s="16"/>
      <c r="L12" s="16"/>
    </row>
    <row r="13" spans="1:12" ht="20" x14ac:dyDescent="0.2">
      <c r="B13" s="20" t="s">
        <v>87</v>
      </c>
      <c r="C13" s="21">
        <v>0.5</v>
      </c>
      <c r="D13" s="16"/>
      <c r="E13" s="16"/>
      <c r="F13" s="16"/>
      <c r="K13" s="16"/>
      <c r="L13" s="16"/>
    </row>
    <row r="14" spans="1:12" ht="20" x14ac:dyDescent="0.2">
      <c r="B14" s="20" t="s">
        <v>96</v>
      </c>
      <c r="C14" s="5">
        <v>1000</v>
      </c>
      <c r="D14" s="16"/>
      <c r="E14" s="16"/>
      <c r="F14" s="16"/>
      <c r="K14" s="16"/>
      <c r="L14" s="16"/>
    </row>
    <row r="15" spans="1:12" ht="20" x14ac:dyDescent="0.2">
      <c r="B15" s="20" t="s">
        <v>88</v>
      </c>
      <c r="C15" s="5">
        <v>300</v>
      </c>
      <c r="D15" s="16"/>
      <c r="E15" s="16"/>
      <c r="F15" s="16"/>
      <c r="K15" s="16"/>
      <c r="L15" s="16"/>
    </row>
    <row r="16" spans="1:12" ht="6" customHeight="1" x14ac:dyDescent="0.2">
      <c r="B16" s="42"/>
      <c r="C16" s="50"/>
    </row>
    <row r="17" spans="1:12" ht="19" customHeight="1" x14ac:dyDescent="0.2">
      <c r="A17" s="48" t="s">
        <v>132</v>
      </c>
      <c r="B17" s="113" t="s">
        <v>89</v>
      </c>
      <c r="C17" s="113"/>
      <c r="D17" s="113"/>
      <c r="E17" s="113"/>
      <c r="F17" s="113"/>
    </row>
    <row r="18" spans="1:12" ht="19" customHeight="1" x14ac:dyDescent="0.2">
      <c r="B18" s="20" t="s">
        <v>90</v>
      </c>
      <c r="C18" s="52">
        <v>20000</v>
      </c>
      <c r="D18" s="105" t="s">
        <v>91</v>
      </c>
      <c r="E18" s="105"/>
      <c r="F18" s="16"/>
      <c r="L18" s="16"/>
    </row>
    <row r="19" spans="1:12" ht="19" customHeight="1" x14ac:dyDescent="0.2">
      <c r="B19" s="20" t="s">
        <v>92</v>
      </c>
      <c r="C19" s="43">
        <v>0.01</v>
      </c>
      <c r="D19" s="105" t="s">
        <v>93</v>
      </c>
      <c r="E19" s="105"/>
      <c r="F19" s="16"/>
      <c r="L19" s="16"/>
    </row>
    <row r="20" spans="1:12" ht="6" customHeight="1" x14ac:dyDescent="0.2">
      <c r="B20" s="42"/>
      <c r="C20" s="50"/>
    </row>
    <row r="21" spans="1:12" x14ac:dyDescent="0.2">
      <c r="A21" s="48" t="s">
        <v>133</v>
      </c>
      <c r="B21" s="113" t="s">
        <v>94</v>
      </c>
      <c r="C21" s="113"/>
      <c r="D21" s="113"/>
      <c r="E21" s="113"/>
      <c r="F21" s="113"/>
    </row>
    <row r="22" spans="1:12" ht="20" x14ac:dyDescent="0.2">
      <c r="B22" s="20" t="s">
        <v>95</v>
      </c>
      <c r="C22" s="44">
        <f>1/3</f>
        <v>0.33333333333333331</v>
      </c>
      <c r="D22" s="29"/>
      <c r="E22" s="16"/>
      <c r="F22" s="16"/>
      <c r="K22" s="16"/>
      <c r="L22" s="16"/>
    </row>
    <row r="23" spans="1:12" x14ac:dyDescent="0.2">
      <c r="B23" s="20"/>
      <c r="C23" s="44"/>
      <c r="D23" s="29"/>
      <c r="E23" s="16"/>
      <c r="F23" s="16"/>
      <c r="K23" s="16"/>
      <c r="L23" s="16"/>
    </row>
    <row r="24" spans="1:12" x14ac:dyDescent="0.2">
      <c r="B24" s="114" t="s">
        <v>97</v>
      </c>
      <c r="C24" s="115"/>
      <c r="D24" s="16"/>
      <c r="E24" s="116" t="s">
        <v>21</v>
      </c>
      <c r="F24" s="117"/>
      <c r="H24" s="112" t="s">
        <v>59</v>
      </c>
      <c r="I24" s="112"/>
      <c r="K24" s="111" t="s">
        <v>7</v>
      </c>
      <c r="L24" s="111"/>
    </row>
    <row r="25" spans="1:12" ht="19" customHeight="1" x14ac:dyDescent="0.2">
      <c r="D25" s="16"/>
    </row>
    <row r="26" spans="1:12" ht="19" customHeight="1" x14ac:dyDescent="0.2">
      <c r="B26" s="22" t="s">
        <v>27</v>
      </c>
      <c r="C26" s="23">
        <f>C12</f>
        <v>1.5</v>
      </c>
      <c r="D26" s="16"/>
      <c r="E26" s="22" t="s">
        <v>26</v>
      </c>
      <c r="F26" s="53">
        <f>C4*C5</f>
        <v>50000</v>
      </c>
      <c r="H26" s="107" t="s">
        <v>18</v>
      </c>
      <c r="I26" s="108"/>
      <c r="K26" s="9" t="s">
        <v>8</v>
      </c>
      <c r="L26" s="55">
        <f>Avril!C50</f>
        <v>4400</v>
      </c>
    </row>
    <row r="27" spans="1:12" ht="19" customHeight="1" x14ac:dyDescent="0.2">
      <c r="B27" s="14" t="s">
        <v>28</v>
      </c>
      <c r="C27" s="24">
        <f>C13</f>
        <v>0.5</v>
      </c>
      <c r="E27" s="27" t="s">
        <v>32</v>
      </c>
      <c r="F27" s="54">
        <f>-C4*C28</f>
        <v>-10000</v>
      </c>
      <c r="H27" s="47" t="s">
        <v>116</v>
      </c>
      <c r="I27" s="68">
        <f>Avril!C45</f>
        <v>36000</v>
      </c>
      <c r="L27" s="45"/>
    </row>
    <row r="28" spans="1:12" ht="19" customHeight="1" x14ac:dyDescent="0.2">
      <c r="B28" s="9" t="s">
        <v>29</v>
      </c>
      <c r="C28" s="25">
        <f>SUM(C26:C27)</f>
        <v>2</v>
      </c>
      <c r="D28" s="16"/>
      <c r="E28" s="51" t="s">
        <v>102</v>
      </c>
      <c r="F28" s="56">
        <f>SUM(F26:F27)</f>
        <v>40000</v>
      </c>
      <c r="H28" s="33" t="s">
        <v>117</v>
      </c>
      <c r="I28" s="68">
        <f>Avril!C46+F32</f>
        <v>-3000</v>
      </c>
      <c r="K28" s="22" t="s">
        <v>111</v>
      </c>
      <c r="L28" s="53">
        <f>F31</f>
        <v>38700</v>
      </c>
    </row>
    <row r="29" spans="1:12" ht="19" customHeight="1" x14ac:dyDescent="0.2">
      <c r="D29" s="16"/>
      <c r="E29" s="27" t="s">
        <v>48</v>
      </c>
      <c r="F29" s="54">
        <f>-C14</f>
        <v>-1000</v>
      </c>
      <c r="H29" s="31" t="s">
        <v>63</v>
      </c>
      <c r="I29" s="69">
        <f>I27+I28</f>
        <v>33000</v>
      </c>
      <c r="K29" s="27" t="s">
        <v>112</v>
      </c>
      <c r="L29" s="7">
        <f>-(I30-Avril!C48)</f>
        <v>-500</v>
      </c>
    </row>
    <row r="30" spans="1:12" ht="19" customHeight="1" x14ac:dyDescent="0.2">
      <c r="B30" s="3"/>
      <c r="C30" s="21"/>
      <c r="D30" s="16"/>
      <c r="E30" s="27" t="s">
        <v>71</v>
      </c>
      <c r="F30" s="7">
        <f>-C15</f>
        <v>-300</v>
      </c>
      <c r="H30" s="6" t="s">
        <v>118</v>
      </c>
      <c r="I30" s="69">
        <f>Avril!C48+C9-C12*C4</f>
        <v>500</v>
      </c>
      <c r="K30" s="27" t="s">
        <v>113</v>
      </c>
      <c r="L30" s="54">
        <f>-(I33-Avril!C49)</f>
        <v>-50000</v>
      </c>
    </row>
    <row r="31" spans="1:12" ht="19" customHeight="1" x14ac:dyDescent="0.2">
      <c r="B31" s="3"/>
      <c r="C31" s="21"/>
      <c r="D31" s="16"/>
      <c r="E31" s="51" t="s">
        <v>74</v>
      </c>
      <c r="F31" s="56">
        <f>SUM(F28:F30)</f>
        <v>38700</v>
      </c>
      <c r="H31" s="36" t="s">
        <v>119</v>
      </c>
      <c r="I31" s="68">
        <f>Avril!C49</f>
        <v>40000</v>
      </c>
      <c r="K31" s="27" t="s">
        <v>114</v>
      </c>
      <c r="L31" s="54">
        <f>I44-Avril!F50</f>
        <v>4000</v>
      </c>
    </row>
    <row r="32" spans="1:12" ht="19" customHeight="1" x14ac:dyDescent="0.2">
      <c r="B32" s="3"/>
      <c r="C32" s="21"/>
      <c r="D32" s="16"/>
      <c r="E32" s="27" t="s">
        <v>70</v>
      </c>
      <c r="F32" s="54">
        <f>Avril!C38</f>
        <v>-1000</v>
      </c>
      <c r="H32" s="36" t="s">
        <v>120</v>
      </c>
      <c r="I32" s="68">
        <f>F26</f>
        <v>50000</v>
      </c>
      <c r="K32" s="27" t="s">
        <v>115</v>
      </c>
      <c r="L32" s="54">
        <f>F36</f>
        <v>-12500</v>
      </c>
    </row>
    <row r="33" spans="2:12" ht="19" customHeight="1" x14ac:dyDescent="0.2">
      <c r="B33" s="3"/>
      <c r="C33" s="21"/>
      <c r="D33" s="16"/>
      <c r="E33" s="51" t="s">
        <v>103</v>
      </c>
      <c r="F33" s="56">
        <f>SUM(F31:F32)</f>
        <v>37700</v>
      </c>
      <c r="H33" s="6" t="s">
        <v>121</v>
      </c>
      <c r="I33" s="69">
        <f>I31+I32</f>
        <v>90000</v>
      </c>
      <c r="K33" s="46" t="s">
        <v>106</v>
      </c>
      <c r="L33" s="57">
        <f>SUM(L28:L32)</f>
        <v>-20300</v>
      </c>
    </row>
    <row r="34" spans="2:12" ht="19" customHeight="1" x14ac:dyDescent="0.2">
      <c r="D34" s="16"/>
      <c r="E34" s="27" t="s">
        <v>98</v>
      </c>
      <c r="F34" s="7">
        <f>-C18*C19</f>
        <v>-200</v>
      </c>
      <c r="H34" s="6" t="s">
        <v>5</v>
      </c>
      <c r="I34" s="69">
        <f>L43</f>
        <v>3900</v>
      </c>
    </row>
    <row r="35" spans="2:12" ht="19" customHeight="1" x14ac:dyDescent="0.25">
      <c r="B35" s="79"/>
      <c r="C35" s="79"/>
      <c r="D35" s="16"/>
      <c r="E35" s="51" t="s">
        <v>99</v>
      </c>
      <c r="F35" s="56">
        <f>SUM(F33:F34)</f>
        <v>37500</v>
      </c>
      <c r="H35" s="9" t="s">
        <v>16</v>
      </c>
      <c r="I35" s="70">
        <f>I29+I30+I33+I34</f>
        <v>127400</v>
      </c>
      <c r="K35" s="9" t="s">
        <v>107</v>
      </c>
      <c r="L35" s="10">
        <v>0</v>
      </c>
    </row>
    <row r="36" spans="2:12" ht="19" customHeight="1" x14ac:dyDescent="0.2">
      <c r="E36" s="27" t="s">
        <v>100</v>
      </c>
      <c r="F36" s="54">
        <f>-C22*F35</f>
        <v>-12500</v>
      </c>
    </row>
    <row r="37" spans="2:12" ht="19" customHeight="1" x14ac:dyDescent="0.2">
      <c r="D37" s="16"/>
      <c r="E37" s="9" t="s">
        <v>101</v>
      </c>
      <c r="F37" s="55">
        <f>SUM(F35:F36)</f>
        <v>25000</v>
      </c>
      <c r="K37" s="22" t="s">
        <v>104</v>
      </c>
      <c r="L37" s="53">
        <f>C18</f>
        <v>20000</v>
      </c>
    </row>
    <row r="38" spans="2:12" ht="19" customHeight="1" x14ac:dyDescent="0.2">
      <c r="H38" s="107" t="s">
        <v>19</v>
      </c>
      <c r="I38" s="108"/>
      <c r="K38" s="6" t="s">
        <v>105</v>
      </c>
      <c r="L38" s="7">
        <f>F34</f>
        <v>-200</v>
      </c>
    </row>
    <row r="39" spans="2:12" ht="19" customHeight="1" x14ac:dyDescent="0.2">
      <c r="D39" s="16"/>
      <c r="E39" s="49" t="s">
        <v>75</v>
      </c>
      <c r="H39" s="34" t="s">
        <v>10</v>
      </c>
      <c r="I39" s="71">
        <f>Avril!F45</f>
        <v>5000</v>
      </c>
      <c r="J39" s="16"/>
      <c r="K39" s="46" t="s">
        <v>108</v>
      </c>
      <c r="L39" s="57">
        <f>SUM(L37:L38)</f>
        <v>19800</v>
      </c>
    </row>
    <row r="40" spans="2:12" ht="19" customHeight="1" x14ac:dyDescent="0.2">
      <c r="D40" s="16"/>
      <c r="E40" s="49" t="s">
        <v>76</v>
      </c>
      <c r="H40" s="36" t="s">
        <v>122</v>
      </c>
      <c r="I40" s="71">
        <f>Avril!F46+Avril!F47</f>
        <v>73400</v>
      </c>
      <c r="J40" s="16"/>
    </row>
    <row r="41" spans="2:12" ht="19" customHeight="1" x14ac:dyDescent="0.2">
      <c r="D41" s="16"/>
      <c r="H41" s="36" t="s">
        <v>123</v>
      </c>
      <c r="I41" s="71">
        <f>F37</f>
        <v>25000</v>
      </c>
      <c r="J41" s="16"/>
      <c r="K41" s="9" t="s">
        <v>109</v>
      </c>
      <c r="L41" s="10">
        <f>L33+L35+L39</f>
        <v>-500</v>
      </c>
    </row>
    <row r="42" spans="2:12" ht="19" customHeight="1" x14ac:dyDescent="0.2">
      <c r="D42" s="16"/>
      <c r="F42" s="16"/>
      <c r="H42" s="6" t="s">
        <v>58</v>
      </c>
      <c r="I42" s="72">
        <f>SUM(I39:I41)</f>
        <v>103400</v>
      </c>
      <c r="J42" s="16"/>
    </row>
    <row r="43" spans="2:12" ht="19" customHeight="1" x14ac:dyDescent="0.2">
      <c r="D43" s="16"/>
      <c r="F43" s="16"/>
      <c r="H43" s="6" t="s">
        <v>124</v>
      </c>
      <c r="I43" s="72">
        <f>C18</f>
        <v>20000</v>
      </c>
      <c r="J43" s="16"/>
      <c r="K43" s="9" t="s">
        <v>13</v>
      </c>
      <c r="L43" s="55">
        <f>L26+L41</f>
        <v>3900</v>
      </c>
    </row>
    <row r="44" spans="2:12" ht="19" customHeight="1" x14ac:dyDescent="0.2">
      <c r="D44" s="16"/>
      <c r="F44" s="16"/>
      <c r="H44" s="14" t="s">
        <v>125</v>
      </c>
      <c r="I44" s="72">
        <f>C9/2</f>
        <v>4000</v>
      </c>
      <c r="J44" s="16"/>
    </row>
    <row r="45" spans="2:12" ht="19" customHeight="1" x14ac:dyDescent="0.2">
      <c r="D45" s="16"/>
      <c r="F45" s="16"/>
      <c r="H45" s="9" t="s">
        <v>17</v>
      </c>
      <c r="I45" s="73">
        <f>I42+I43+I44</f>
        <v>127400</v>
      </c>
      <c r="J45" s="16"/>
    </row>
    <row r="46" spans="2:12" ht="19" customHeight="1" x14ac:dyDescent="0.2">
      <c r="D46" s="16"/>
      <c r="E46" s="16"/>
      <c r="F46" s="16"/>
      <c r="J46" s="16"/>
    </row>
    <row r="47" spans="2:12" ht="19" customHeight="1" x14ac:dyDescent="0.2">
      <c r="D47" s="16"/>
      <c r="E47" s="16"/>
      <c r="F47" s="16"/>
      <c r="J47" s="16"/>
    </row>
    <row r="48" spans="2:12" ht="19" customHeight="1" x14ac:dyDescent="0.2">
      <c r="D48" s="16"/>
      <c r="E48" s="16"/>
      <c r="F48" s="16"/>
      <c r="J48" s="16"/>
    </row>
    <row r="49" spans="2:12" ht="19" customHeight="1" x14ac:dyDescent="0.25">
      <c r="D49" s="16"/>
      <c r="E49" s="75" t="s">
        <v>135</v>
      </c>
      <c r="F49" s="76">
        <f>F33/F26</f>
        <v>0.754</v>
      </c>
      <c r="H49" s="81" t="s">
        <v>153</v>
      </c>
      <c r="I49" s="82"/>
      <c r="J49" s="16"/>
      <c r="K49" s="1" t="s">
        <v>162</v>
      </c>
      <c r="L49" s="90">
        <f>F33*(1-C22)</f>
        <v>25133.333333333336</v>
      </c>
    </row>
    <row r="50" spans="2:12" ht="19" customHeight="1" x14ac:dyDescent="0.25">
      <c r="D50" s="16"/>
      <c r="E50" s="16"/>
      <c r="F50" s="16"/>
      <c r="H50" s="79" t="str">
        <f>H29</f>
        <v>Valeur nette du camion</v>
      </c>
      <c r="I50" s="83">
        <f>I29</f>
        <v>33000</v>
      </c>
      <c r="J50" s="16"/>
      <c r="K50" s="89" t="s">
        <v>159</v>
      </c>
      <c r="L50" s="90">
        <f>-F32</f>
        <v>1000</v>
      </c>
    </row>
    <row r="51" spans="2:12" ht="19" customHeight="1" x14ac:dyDescent="0.25">
      <c r="D51" s="16"/>
      <c r="E51" s="16"/>
      <c r="F51" s="16"/>
      <c r="H51" s="84" t="s">
        <v>155</v>
      </c>
      <c r="I51" s="83">
        <f>I30</f>
        <v>500</v>
      </c>
      <c r="J51" s="16"/>
      <c r="K51" s="89" t="s">
        <v>160</v>
      </c>
      <c r="L51" s="102">
        <f>-(I54-(Avril!C48+Avril!C49-Avril!F50))</f>
        <v>-46500</v>
      </c>
    </row>
    <row r="52" spans="2:12" ht="19" customHeight="1" x14ac:dyDescent="0.25">
      <c r="D52" s="16"/>
      <c r="E52" s="16"/>
      <c r="F52" s="16"/>
      <c r="H52" s="85" t="s">
        <v>163</v>
      </c>
      <c r="I52" s="83">
        <f>I33</f>
        <v>90000</v>
      </c>
      <c r="J52" s="16"/>
      <c r="K52" s="48" t="s">
        <v>161</v>
      </c>
      <c r="L52" s="93">
        <v>0</v>
      </c>
    </row>
    <row r="53" spans="2:12" ht="19" customHeight="1" x14ac:dyDescent="0.25">
      <c r="B53" s="49"/>
      <c r="D53" s="16"/>
      <c r="E53" s="16"/>
      <c r="F53" s="16"/>
      <c r="H53" s="85" t="s">
        <v>154</v>
      </c>
      <c r="I53" s="92">
        <f>-I44</f>
        <v>-4000</v>
      </c>
      <c r="J53" s="16"/>
      <c r="K53" s="88" t="s">
        <v>158</v>
      </c>
      <c r="L53" s="94">
        <f>L49+L50+L51+L52</f>
        <v>-20366.666666666664</v>
      </c>
    </row>
    <row r="54" spans="2:12" ht="19" customHeight="1" x14ac:dyDescent="0.25">
      <c r="B54" s="49"/>
      <c r="D54" s="16"/>
      <c r="E54" s="16"/>
      <c r="F54" s="16"/>
      <c r="H54" s="79" t="s">
        <v>156</v>
      </c>
      <c r="I54" s="86">
        <f>SUM(I51:I53)</f>
        <v>86500</v>
      </c>
      <c r="J54" s="16"/>
    </row>
    <row r="55" spans="2:12" ht="19" customHeight="1" x14ac:dyDescent="0.25">
      <c r="B55" s="49"/>
      <c r="C55" s="5"/>
      <c r="D55" s="16"/>
      <c r="E55" s="16"/>
      <c r="F55" s="16"/>
      <c r="H55" s="80" t="s">
        <v>157</v>
      </c>
      <c r="I55" s="87">
        <f>I50+I54</f>
        <v>119500</v>
      </c>
      <c r="J55" s="16"/>
    </row>
    <row r="56" spans="2:12" ht="19" customHeight="1" x14ac:dyDescent="0.25">
      <c r="D56" s="16"/>
      <c r="E56" s="16"/>
      <c r="F56" s="16"/>
      <c r="H56" s="79"/>
      <c r="I56" s="79"/>
      <c r="J56" s="16"/>
    </row>
    <row r="57" spans="2:12" ht="19" customHeight="1" x14ac:dyDescent="0.25">
      <c r="D57" s="16"/>
      <c r="E57" s="16"/>
      <c r="F57" s="16"/>
      <c r="H57" s="77" t="s">
        <v>136</v>
      </c>
      <c r="I57" s="78">
        <f>F33/I55</f>
        <v>0.31548117154811717</v>
      </c>
      <c r="J57" s="16"/>
    </row>
    <row r="58" spans="2:12" ht="10" customHeight="1" x14ac:dyDescent="0.2">
      <c r="D58" s="16"/>
      <c r="I58" s="99"/>
    </row>
    <row r="59" spans="2:12" ht="19" customHeight="1" x14ac:dyDescent="0.25">
      <c r="D59" s="16"/>
      <c r="E59" s="16"/>
      <c r="F59" s="16"/>
      <c r="H59" s="77" t="s">
        <v>169</v>
      </c>
      <c r="I59" s="78">
        <f>I57*(1-C22)</f>
        <v>0.21032078103207813</v>
      </c>
      <c r="J59" s="16"/>
    </row>
    <row r="60" spans="2:12" ht="19" customHeight="1" x14ac:dyDescent="0.2">
      <c r="B60" s="49"/>
      <c r="D60" s="16"/>
    </row>
    <row r="61" spans="2:12" ht="19" customHeight="1" x14ac:dyDescent="0.25">
      <c r="B61" s="49"/>
      <c r="D61" s="16"/>
      <c r="H61" s="81" t="s">
        <v>164</v>
      </c>
    </row>
    <row r="62" spans="2:12" ht="10" customHeight="1" x14ac:dyDescent="0.2">
      <c r="D62" s="16"/>
      <c r="E62" s="16"/>
      <c r="F62" s="16"/>
      <c r="J62" s="16"/>
      <c r="K62" s="16"/>
      <c r="L62" s="16"/>
    </row>
    <row r="63" spans="2:12" ht="19" customHeight="1" x14ac:dyDescent="0.2">
      <c r="D63" s="16"/>
      <c r="H63" s="96" t="s">
        <v>165</v>
      </c>
      <c r="I63" s="98">
        <f>I33/(F26/30)</f>
        <v>54</v>
      </c>
    </row>
    <row r="64" spans="2:12" ht="10" customHeight="1" x14ac:dyDescent="0.2">
      <c r="D64" s="16"/>
      <c r="I64" s="99"/>
    </row>
    <row r="65" spans="4:12" ht="19" customHeight="1" x14ac:dyDescent="0.2">
      <c r="H65" s="97" t="s">
        <v>166</v>
      </c>
      <c r="I65" s="100">
        <f>I44/(-F27/30)</f>
        <v>12</v>
      </c>
    </row>
    <row r="66" spans="4:12" ht="10" customHeight="1" x14ac:dyDescent="0.2">
      <c r="I66" s="99"/>
    </row>
    <row r="67" spans="4:12" ht="19" customHeight="1" x14ac:dyDescent="0.2">
      <c r="H67" s="95" t="s">
        <v>167</v>
      </c>
      <c r="I67" s="101">
        <f>I30/(-F27/30)</f>
        <v>1.5</v>
      </c>
    </row>
    <row r="68" spans="4:12" ht="19" customHeight="1" x14ac:dyDescent="0.2">
      <c r="D68" s="16"/>
      <c r="E68" s="16"/>
      <c r="F68" s="16"/>
      <c r="J68" s="16"/>
      <c r="K68" s="16"/>
      <c r="L68" s="16"/>
    </row>
    <row r="69" spans="4:12" ht="19" customHeight="1" x14ac:dyDescent="0.2">
      <c r="D69" s="16"/>
    </row>
    <row r="70" spans="4:12" ht="19" customHeight="1" x14ac:dyDescent="0.2">
      <c r="D70" s="16"/>
    </row>
    <row r="71" spans="4:12" ht="19" customHeight="1" x14ac:dyDescent="0.2"/>
    <row r="72" spans="4:12" ht="19" customHeight="1" x14ac:dyDescent="0.2"/>
    <row r="73" spans="4:12" ht="19" customHeight="1" x14ac:dyDescent="0.2"/>
    <row r="74" spans="4:12" ht="19" customHeight="1" x14ac:dyDescent="0.2"/>
    <row r="75" spans="4:12" ht="19" customHeight="1" x14ac:dyDescent="0.2"/>
    <row r="76" spans="4:12" ht="19" customHeight="1" x14ac:dyDescent="0.2"/>
    <row r="77" spans="4:12" ht="19" customHeight="1" x14ac:dyDescent="0.2"/>
  </sheetData>
  <mergeCells count="11">
    <mergeCell ref="A1:L1"/>
    <mergeCell ref="H24:I24"/>
    <mergeCell ref="H26:I26"/>
    <mergeCell ref="H38:I38"/>
    <mergeCell ref="B17:F17"/>
    <mergeCell ref="D18:E18"/>
    <mergeCell ref="D19:E19"/>
    <mergeCell ref="B21:F21"/>
    <mergeCell ref="B24:C24"/>
    <mergeCell ref="E24:F24"/>
    <mergeCell ref="K24:L24"/>
  </mergeCells>
  <pageMargins left="0.7" right="0.7" top="0.75" bottom="0.75" header="0.3" footer="0.3"/>
  <ignoredErrors>
    <ignoredError sqref="F34:F36" formula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C448-7A9C-3846-ADCA-0943724B6593}">
  <dimension ref="B1:K16"/>
  <sheetViews>
    <sheetView workbookViewId="0">
      <selection activeCell="F7" sqref="F7"/>
    </sheetView>
  </sheetViews>
  <sheetFormatPr baseColWidth="10" defaultRowHeight="24" customHeight="1" x14ac:dyDescent="0.2"/>
  <cols>
    <col min="1" max="2" width="3.6640625" style="1" customWidth="1"/>
    <col min="3" max="3" width="6" style="1" bestFit="1" customWidth="1"/>
    <col min="4" max="4" width="42" style="1" customWidth="1"/>
    <col min="5" max="6" width="28.83203125" style="59" customWidth="1"/>
    <col min="7" max="7" width="3.6640625" style="1" customWidth="1"/>
    <col min="8" max="16384" width="10.83203125" style="1"/>
  </cols>
  <sheetData>
    <row r="1" spans="2:11" s="58" customFormat="1" ht="24" customHeight="1" x14ac:dyDescent="0.2">
      <c r="B1" s="110" t="s">
        <v>134</v>
      </c>
      <c r="C1" s="110"/>
      <c r="D1" s="110"/>
      <c r="E1" s="110"/>
      <c r="F1" s="110"/>
      <c r="G1" s="110"/>
      <c r="H1" s="65"/>
      <c r="I1" s="65"/>
      <c r="J1" s="65"/>
      <c r="K1" s="65"/>
    </row>
    <row r="5" spans="2:11" ht="37" customHeight="1" x14ac:dyDescent="0.2">
      <c r="C5" s="60"/>
      <c r="D5" s="61"/>
      <c r="E5" s="62" t="s">
        <v>135</v>
      </c>
      <c r="F5" s="63" t="s">
        <v>136</v>
      </c>
    </row>
    <row r="6" spans="2:11" ht="37" customHeight="1" x14ac:dyDescent="0.2">
      <c r="C6" s="64">
        <v>0</v>
      </c>
      <c r="D6" s="61" t="s">
        <v>137</v>
      </c>
      <c r="E6" s="66"/>
      <c r="F6" s="67"/>
    </row>
    <row r="7" spans="2:11" ht="37" customHeight="1" x14ac:dyDescent="0.2">
      <c r="C7" s="64">
        <f>C6+1</f>
        <v>1</v>
      </c>
      <c r="D7" s="61" t="s">
        <v>146</v>
      </c>
      <c r="E7" s="66"/>
      <c r="F7" s="67"/>
    </row>
    <row r="8" spans="2:11" ht="37" customHeight="1" x14ac:dyDescent="0.2">
      <c r="C8" s="64">
        <f t="shared" ref="C8:C16" si="0">C7+1</f>
        <v>2</v>
      </c>
      <c r="D8" s="61" t="s">
        <v>142</v>
      </c>
      <c r="E8" s="66"/>
      <c r="F8" s="67"/>
    </row>
    <row r="9" spans="2:11" ht="37" customHeight="1" x14ac:dyDescent="0.2">
      <c r="C9" s="64">
        <f t="shared" si="0"/>
        <v>3</v>
      </c>
      <c r="D9" s="61" t="s">
        <v>138</v>
      </c>
      <c r="E9" s="66"/>
      <c r="F9" s="67"/>
    </row>
    <row r="10" spans="2:11" ht="37" customHeight="1" x14ac:dyDescent="0.2">
      <c r="C10" s="64">
        <f t="shared" si="0"/>
        <v>4</v>
      </c>
      <c r="D10" s="61" t="s">
        <v>139</v>
      </c>
      <c r="E10" s="66"/>
      <c r="F10" s="67"/>
    </row>
    <row r="11" spans="2:11" ht="37" customHeight="1" x14ac:dyDescent="0.2">
      <c r="C11" s="64">
        <f t="shared" si="0"/>
        <v>5</v>
      </c>
      <c r="D11" s="61" t="s">
        <v>140</v>
      </c>
      <c r="E11" s="66"/>
      <c r="F11" s="67"/>
    </row>
    <row r="12" spans="2:11" ht="37" customHeight="1" x14ac:dyDescent="0.2">
      <c r="C12" s="64">
        <f t="shared" si="0"/>
        <v>6</v>
      </c>
      <c r="D12" s="61" t="s">
        <v>141</v>
      </c>
      <c r="E12" s="66"/>
      <c r="F12" s="67"/>
    </row>
    <row r="13" spans="2:11" ht="37" customHeight="1" x14ac:dyDescent="0.2">
      <c r="C13" s="64">
        <f t="shared" si="0"/>
        <v>7</v>
      </c>
      <c r="D13" s="61" t="s">
        <v>147</v>
      </c>
      <c r="E13" s="66"/>
      <c r="F13" s="67"/>
    </row>
    <row r="14" spans="2:11" ht="37" customHeight="1" x14ac:dyDescent="0.2">
      <c r="C14" s="64">
        <f t="shared" si="0"/>
        <v>8</v>
      </c>
      <c r="D14" s="61" t="s">
        <v>143</v>
      </c>
      <c r="E14" s="66"/>
      <c r="F14" s="67"/>
    </row>
    <row r="15" spans="2:11" ht="37" customHeight="1" x14ac:dyDescent="0.2">
      <c r="C15" s="64">
        <f t="shared" si="0"/>
        <v>9</v>
      </c>
      <c r="D15" s="61" t="s">
        <v>144</v>
      </c>
      <c r="E15" s="66"/>
      <c r="F15" s="67"/>
    </row>
    <row r="16" spans="2:11" ht="37" customHeight="1" x14ac:dyDescent="0.2">
      <c r="C16" s="64">
        <f t="shared" si="0"/>
        <v>10</v>
      </c>
      <c r="D16" s="61" t="s">
        <v>145</v>
      </c>
      <c r="E16" s="66"/>
      <c r="F16" s="67"/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9EF0-E400-7149-A486-255B775511A7}">
  <dimension ref="B1:K16"/>
  <sheetViews>
    <sheetView workbookViewId="0">
      <selection activeCell="E11" sqref="E11:F11"/>
    </sheetView>
  </sheetViews>
  <sheetFormatPr baseColWidth="10" defaultRowHeight="24" customHeight="1" x14ac:dyDescent="0.2"/>
  <cols>
    <col min="1" max="2" width="3.6640625" style="1" customWidth="1"/>
    <col min="3" max="3" width="6" style="1" bestFit="1" customWidth="1"/>
    <col min="4" max="4" width="42" style="1" customWidth="1"/>
    <col min="5" max="6" width="28.83203125" style="59" customWidth="1"/>
    <col min="7" max="7" width="3.6640625" style="1" customWidth="1"/>
    <col min="8" max="16384" width="10.83203125" style="1"/>
  </cols>
  <sheetData>
    <row r="1" spans="2:11" s="58" customFormat="1" ht="24" customHeight="1" x14ac:dyDescent="0.2">
      <c r="B1" s="110" t="s">
        <v>134</v>
      </c>
      <c r="C1" s="110"/>
      <c r="D1" s="110"/>
      <c r="E1" s="110"/>
      <c r="F1" s="110"/>
      <c r="G1" s="110"/>
      <c r="H1" s="65"/>
      <c r="I1" s="65"/>
      <c r="J1" s="65"/>
      <c r="K1" s="65"/>
    </row>
    <row r="5" spans="2:11" ht="37" customHeight="1" x14ac:dyDescent="0.2">
      <c r="C5" s="60"/>
      <c r="D5" s="61"/>
      <c r="E5" s="62" t="s">
        <v>135</v>
      </c>
      <c r="F5" s="63" t="s">
        <v>136</v>
      </c>
    </row>
    <row r="6" spans="2:11" ht="37" customHeight="1" x14ac:dyDescent="0.2">
      <c r="C6" s="64">
        <v>0</v>
      </c>
      <c r="D6" s="61" t="s">
        <v>137</v>
      </c>
      <c r="E6" s="66">
        <f>Mai!F33/Mai!F26</f>
        <v>0.754</v>
      </c>
      <c r="F6" s="67">
        <f>Mai!F33/(Mai!I29+Mai!I30+Mai!I33-Mai!I44)</f>
        <v>0.31548117154811717</v>
      </c>
    </row>
    <row r="7" spans="2:11" ht="37" customHeight="1" x14ac:dyDescent="0.2">
      <c r="C7" s="64">
        <f>C6+1</f>
        <v>1</v>
      </c>
      <c r="D7" s="61" t="s">
        <v>146</v>
      </c>
      <c r="E7" s="66">
        <v>0.70799999999999996</v>
      </c>
      <c r="F7" s="67">
        <v>0.18015267175572519</v>
      </c>
    </row>
    <row r="8" spans="2:11" ht="37" customHeight="1" x14ac:dyDescent="0.2">
      <c r="C8" s="64">
        <f t="shared" ref="C8:C16" si="0">C7+1</f>
        <v>2</v>
      </c>
      <c r="D8" s="61" t="s">
        <v>142</v>
      </c>
      <c r="E8" s="66">
        <v>0.50800000000000001</v>
      </c>
      <c r="F8" s="67">
        <v>0.1343915343915344</v>
      </c>
    </row>
    <row r="9" spans="2:11" ht="37" customHeight="1" x14ac:dyDescent="0.2">
      <c r="C9" s="64">
        <f t="shared" si="0"/>
        <v>3</v>
      </c>
      <c r="D9" s="61" t="s">
        <v>138</v>
      </c>
      <c r="E9" s="66">
        <v>0.60399999999999998</v>
      </c>
      <c r="F9" s="67">
        <v>0.26964285714285713</v>
      </c>
    </row>
    <row r="10" spans="2:11" ht="37" customHeight="1" x14ac:dyDescent="0.2">
      <c r="C10" s="64">
        <f t="shared" si="0"/>
        <v>4</v>
      </c>
      <c r="D10" s="61" t="s">
        <v>139</v>
      </c>
      <c r="E10" s="66">
        <v>0.70399999999999996</v>
      </c>
      <c r="F10" s="67">
        <v>0.29456066945606696</v>
      </c>
    </row>
    <row r="11" spans="2:11" ht="37" customHeight="1" x14ac:dyDescent="0.2">
      <c r="C11" s="64">
        <f t="shared" si="0"/>
        <v>5</v>
      </c>
      <c r="D11" s="61" t="s">
        <v>140</v>
      </c>
      <c r="E11" s="66">
        <v>0.70799999999999996</v>
      </c>
      <c r="F11" s="67">
        <v>0.29899999999999999</v>
      </c>
    </row>
    <row r="12" spans="2:11" ht="37" customHeight="1" x14ac:dyDescent="0.2">
      <c r="C12" s="64">
        <f t="shared" si="0"/>
        <v>6</v>
      </c>
      <c r="D12" s="61" t="s">
        <v>141</v>
      </c>
      <c r="E12" s="66">
        <v>0.754</v>
      </c>
      <c r="F12" s="67">
        <v>0.31548117154811717</v>
      </c>
    </row>
    <row r="13" spans="2:11" ht="37" customHeight="1" x14ac:dyDescent="0.2">
      <c r="C13" s="64">
        <f t="shared" si="0"/>
        <v>7</v>
      </c>
      <c r="D13" s="61" t="s">
        <v>147</v>
      </c>
      <c r="E13" s="66">
        <v>0.754</v>
      </c>
      <c r="F13" s="67">
        <v>0.24721311475409835</v>
      </c>
    </row>
    <row r="14" spans="2:11" ht="37" customHeight="1" x14ac:dyDescent="0.2">
      <c r="C14" s="64">
        <f t="shared" si="0"/>
        <v>8</v>
      </c>
      <c r="D14" s="61" t="s">
        <v>143</v>
      </c>
      <c r="E14" s="66">
        <v>0.754</v>
      </c>
      <c r="F14" s="67">
        <v>0.31416666666666665</v>
      </c>
    </row>
    <row r="15" spans="2:11" ht="37" customHeight="1" x14ac:dyDescent="0.2">
      <c r="C15" s="64">
        <f t="shared" si="0"/>
        <v>9</v>
      </c>
      <c r="D15" s="61" t="s">
        <v>144</v>
      </c>
      <c r="E15" s="66">
        <v>0.754</v>
      </c>
      <c r="F15" s="67">
        <v>0.18</v>
      </c>
    </row>
    <row r="16" spans="2:11" ht="37" customHeight="1" x14ac:dyDescent="0.2">
      <c r="C16" s="64">
        <f t="shared" si="0"/>
        <v>10</v>
      </c>
      <c r="D16" s="61" t="s">
        <v>145</v>
      </c>
      <c r="E16" s="66">
        <v>0.754</v>
      </c>
      <c r="F16" s="67">
        <v>0.31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10</vt:i4>
      </vt:variant>
    </vt:vector>
  </HeadingPairs>
  <TitlesOfParts>
    <vt:vector size="25" baseType="lpstr">
      <vt:lpstr>Titre</vt:lpstr>
      <vt:lpstr>Lancement blank</vt:lpstr>
      <vt:lpstr>Lancement</vt:lpstr>
      <vt:lpstr>Janvier blank</vt:lpstr>
      <vt:lpstr>Janvier</vt:lpstr>
      <vt:lpstr>Fevrier blank</vt:lpstr>
      <vt:lpstr>Fevrier</vt:lpstr>
      <vt:lpstr>Mars blank</vt:lpstr>
      <vt:lpstr>Mars</vt:lpstr>
      <vt:lpstr>Avril blank</vt:lpstr>
      <vt:lpstr>Avril</vt:lpstr>
      <vt:lpstr>Mai blank</vt:lpstr>
      <vt:lpstr>Mai</vt:lpstr>
      <vt:lpstr>Sensibilité blank</vt:lpstr>
      <vt:lpstr>Sensibilité</vt:lpstr>
      <vt:lpstr>Avril!Zone_d_impression</vt:lpstr>
      <vt:lpstr>'Avril blank'!Zone_d_impression</vt:lpstr>
      <vt:lpstr>Fevrier!Zone_d_impression</vt:lpstr>
      <vt:lpstr>'Fevrier blank'!Zone_d_impression</vt:lpstr>
      <vt:lpstr>Janvier!Zone_d_impression</vt:lpstr>
      <vt:lpstr>'Janvier blank'!Zone_d_impression</vt:lpstr>
      <vt:lpstr>Lancement!Zone_d_impression</vt:lpstr>
      <vt:lpstr>'Lancement blank'!Zone_d_impression</vt:lpstr>
      <vt:lpstr>Mars!Zone_d_impression</vt:lpstr>
      <vt:lpstr>'Mars blank'!Zone_d_impression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Marie-Lys Leschiera</cp:lastModifiedBy>
  <cp:lastPrinted>2016-12-04T16:12:12Z</cp:lastPrinted>
  <dcterms:created xsi:type="dcterms:W3CDTF">2016-12-02T13:33:06Z</dcterms:created>
  <dcterms:modified xsi:type="dcterms:W3CDTF">2025-01-16T10:46:28Z</dcterms:modified>
</cp:coreProperties>
</file>